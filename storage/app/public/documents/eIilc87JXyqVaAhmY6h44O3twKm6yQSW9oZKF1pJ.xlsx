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Gemechu plan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H203" i="1" l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K85" i="1"/>
  <c r="J85" i="1"/>
  <c r="I85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<sst xmlns="http://schemas.openxmlformats.org/spreadsheetml/2006/main" count="399" uniqueCount="338">
  <si>
    <t>ግብ</t>
  </si>
  <si>
    <t>ዋና ዋና ተግባራት</t>
  </si>
  <si>
    <t>ዝርዝር ተግባራት</t>
  </si>
  <si>
    <t>አመልካቾች</t>
  </si>
  <si>
    <t>የመለኪያ ክብደት</t>
  </si>
  <si>
    <t>Baseline</t>
  </si>
  <si>
    <t>2014 UNIV.   ዕቅድ</t>
  </si>
  <si>
    <t>2014 IDVP Share</t>
  </si>
  <si>
    <t>ፈጻሚ አካል</t>
  </si>
  <si>
    <t>VP-OFFICE</t>
  </si>
  <si>
    <t>ICT</t>
  </si>
  <si>
    <t>ICT Infrastructure &amp; Services Team</t>
  </si>
  <si>
    <t xml:space="preserve">eLearning Team </t>
  </si>
  <si>
    <t>Training &amp; Consultancy Team</t>
  </si>
  <si>
    <t xml:space="preserve">Comp. Maintenance &amp; Technical Support Team </t>
  </si>
  <si>
    <t>Appl'n Dev't &amp; Admin</t>
  </si>
  <si>
    <t xml:space="preserve">ICT Director </t>
  </si>
  <si>
    <t>ግብ 1 የደንበኛ እና የባለድርሻ አካላት ተሳትፎ እና እርካታን ማሳደግ (20)</t>
  </si>
  <si>
    <t>1.1  በተቀመጠው ስታንዳርድ መሠረት አገልግሎት መስጠት</t>
  </si>
  <si>
    <t>የአገልግሎት አሰጣጥ ስታንዳርድን ማዘጋጀት/መከለስ</t>
  </si>
  <si>
    <t>የተዘጋጀ/የተከለሰ የአገልግሎት አሰጣጥ ስታንዳርድ በቁጥር</t>
  </si>
  <si>
    <t>የተቀመጠውን ስታንዳርድ ሙሉ በሙሉ መተግበር</t>
  </si>
  <si>
    <t>በአገልግሎት አሰጣጥ ስታንዳርድ አተገባበር ላይ የቀረበ ቅሬታ በቁጥር</t>
  </si>
  <si>
    <t>1.2 የደንበኞችን እርካታ ማሳደግ</t>
  </si>
  <si>
    <t>የውስጥ ተገልጋዮች እርካታን ማሳደግ</t>
  </si>
  <si>
    <t xml:space="preserve">የተማሪዎች እርካታ በመቶኛ </t>
  </si>
  <si>
    <t>የሠራተኞች እርካታ በመቶኛ</t>
  </si>
  <si>
    <t>የውጭ ተገልጋዮች እርካታን ማሳደግ</t>
  </si>
  <si>
    <t>የቀጣሪዎች እርካታ በመቶኛ</t>
  </si>
  <si>
    <t xml:space="preserve">የአገልግሎት ተቀባዮች እርካታ በመቶኛ </t>
  </si>
  <si>
    <t xml:space="preserve">የአገልግሎት ሰጪዎች  እርካታ በመቶኛ </t>
  </si>
  <si>
    <t>1.3 የደንበኛ እና የባለድርሻ አካላት ተሳትፎ ማሳደግ</t>
  </si>
  <si>
    <t xml:space="preserve">የአካባቢውን ማ/ሰብ አስፈላጊ በሆኑ የዩቨርሲቲው ጉዳዮች ላይ  ማሳተፍ </t>
  </si>
  <si>
    <t>የተደረጉ ተሳትፎዎች በቁጥር</t>
  </si>
  <si>
    <t>የኢንዱስትሪ ተሳትፎ ማሳደግ</t>
  </si>
  <si>
    <t>በመማር ማስተማር የተደረገ ተሳትፎ በቁጥር</t>
  </si>
  <si>
    <t>በምርምር ቴ/ሽግግርና በማ/ሰብ አገልግሎቶች የተደረጉ ተሳትፎዎች በቁጥር</t>
  </si>
  <si>
    <t xml:space="preserve"> ግብ 2 ዘላቂ የፋይናንስ አቅም መገንባት እና የሀብት አጠቃቀም ማረጋገጥ(15)</t>
  </si>
  <si>
    <t>2.1 የዩኒቨርሲቲ ገቢን ማሳደግ</t>
  </si>
  <si>
    <t>ከመማር ማስተማር የሚገኙ ገቢዎችን መሰብሰብ</t>
  </si>
  <si>
    <t>ከተከታታይ ትምህርት የተገኘ የገንዘብ መጠን</t>
  </si>
  <si>
    <t xml:space="preserve">4.5ሚ </t>
  </si>
  <si>
    <t>ከም/ቴ/ሽግግር የሚገኙ ገቢዎችን መሰብሰብ</t>
  </si>
  <si>
    <t>ከምርምር ግራንት የተገኘ የገንዘብ መጠን</t>
  </si>
  <si>
    <t>9ሚ</t>
  </si>
  <si>
    <t>20ሚ</t>
  </si>
  <si>
    <t>ከማማከር እና ከስልጠና ተገኘ የገንዘብ መጠን</t>
  </si>
  <si>
    <t>22ሚ</t>
  </si>
  <si>
    <t>ከቴክኖሎጂ ውጤቶች ተገኘ የገንዘብ መጠን</t>
  </si>
  <si>
    <t>2ሚ</t>
  </si>
  <si>
    <t>ከልዩ ልዩ አገልግሎቶች ገቢ መሰብሰብ</t>
  </si>
  <si>
    <t>ከላቦራቶሪ አገልግሎቶች የተገኘ የገንዘብ መጠን</t>
  </si>
  <si>
    <t>5ሚ</t>
  </si>
  <si>
    <t>ከዩኒቨርሲቲ ኢንተርፕራይዝ የተገኘ የገንዘብ መጠን</t>
  </si>
  <si>
    <t>ከኪራይ አገልግሎት የተገኘ የገንዘብ መጠን</t>
  </si>
  <si>
    <t>ከልዩ ልዩ አገልግሎቶች የተገኘ የገንዘብ መጠን</t>
  </si>
  <si>
    <t>6ሚ</t>
  </si>
  <si>
    <t>2.2 ውጤታማ የሀብት አጠቃቀም ስርዓትን ማስፈን</t>
  </si>
  <si>
    <t>ውጤታማ የግዢ አስተዳደር ማረጋገጥ</t>
  </si>
  <si>
    <t>በንፅፅር የቀነሰ የግዢ የውስጥ ኦዲት ግኝት</t>
  </si>
  <si>
    <t>ውጤታማ የንብረት አስተዳደር ማረጋገጥ</t>
  </si>
  <si>
    <t>በንፅፅር የቀነሰ የንብረት የውስጥ ኦዲት ግኝት</t>
  </si>
  <si>
    <t>ውጤታማ የፋይናንስ አስተዳደር ማረጋገጥ</t>
  </si>
  <si>
    <t>የበጀት አጠቃቀም  በመቶኛ</t>
  </si>
  <si>
    <t>ወቅቱን ጠብቆ የተዘጋ ሂሳብ ሪፖርት ብዛት</t>
  </si>
  <si>
    <t>የተዘጋጀ የውስጥ ኦዲት ሪፖርት ግኝት</t>
  </si>
  <si>
    <t>በንፅፅር የቀነሰ የፋይናንስ ኦዲት ግኝት</t>
  </si>
  <si>
    <t>ውጤታማ የሰው ሀብት አስተዳደር ማረጋገጥ</t>
  </si>
  <si>
    <t>በንፅፅር የቀነሰ የሰው ሀብት አስተዳደር የውስጥ ኦዲት ግኝት</t>
  </si>
  <si>
    <t>ግብ 3 የትምህርት ጥራት እና አግባብነትን ማረጋገጥ (15)</t>
  </si>
  <si>
    <t>3.1 የትምህርት ጥራት ማረጋገጫ ዘዴን ማሳደግ</t>
  </si>
  <si>
    <t>የትምህርት ጥራት ማረጋገጫ ስታንዳርድ ማዘጋጀት/መከለስ</t>
  </si>
  <si>
    <t>የተዘጋጀ/የተከለሰ የትምህርት ጥራት ስታንዳርድ በቁጥር</t>
  </si>
  <si>
    <t>የትምህርት ጥራት የውስጥ ኦዲት ማካሄድ</t>
  </si>
  <si>
    <t>የተካሄደ የትምህርት ጥራት ኦዲት የተደረግባቸው   ፕሮግራሞች ብዛት</t>
  </si>
  <si>
    <t>በግኝቶች ላይ የተወሰደ እርምጃ በመቶኛ</t>
  </si>
  <si>
    <t>አለም አቀፍ ዕውቅና ለማግኘት የምህንድስና ት/ት ክፍሎች የቅድመዝግጅት አፈጻጸም በመቶኛ</t>
  </si>
  <si>
    <t>አለም አቀፍ ዕውቅና ለማግኘት የአፕላይድ ሳይንስ  ት/ት ክፍሎች የቅድመ ዝግጅት አፈጻጸም በመቶኛ</t>
  </si>
  <si>
    <t>ዓለም አቀፍ እይታን እና ታዋቂነትን ማሳደግ</t>
  </si>
  <si>
    <t>ዕውቅና ያገኙ የምህንድስና ት/ት ክፍሎች ብዛት</t>
  </si>
  <si>
    <t>ዕውቅና ያገኙ የአፕላይድ ሳይንስ ት/ት ክፍሎች ብዛት</t>
  </si>
  <si>
    <t>የትምህርት ጥራትን ለማረጋገጥ የሰው ኃይል ዝግጁነትን ማሻሻል</t>
  </si>
  <si>
    <t>የ1:19 ተማሪ፡መምህራን ጥምርታ ያሟሉ ዲፓርትመንቶች</t>
  </si>
  <si>
    <t>የመምህራን ትምህርት ምጣኔ (ዲግሪ፣ 2ኛዲግሪ፣3ኛ ዲግሪ)</t>
  </si>
  <si>
    <r>
      <t>0</t>
    </r>
    <r>
      <rPr>
        <sz val="10"/>
        <color rgb="FF000000"/>
        <rFont val="Ebrima"/>
      </rPr>
      <t>፡</t>
    </r>
    <r>
      <rPr>
        <sz val="10"/>
        <color rgb="FF000000"/>
        <rFont val="Calibri"/>
        <family val="2"/>
      </rPr>
      <t>64</t>
    </r>
    <r>
      <rPr>
        <sz val="10"/>
        <color rgb="FF000000"/>
        <rFont val="Ebrima"/>
      </rPr>
      <t>፡</t>
    </r>
    <r>
      <rPr>
        <sz val="10"/>
        <color rgb="FF000000"/>
        <rFont val="Calibri"/>
        <family val="2"/>
      </rPr>
      <t>36</t>
    </r>
  </si>
  <si>
    <t>0:60:40.</t>
  </si>
  <si>
    <t>የረዳት ፕሮፌሰር የተባባሪ ፕሮፌሰርና የሙሉ ፕሮፌሰር ምጣኔ</t>
  </si>
  <si>
    <t>81፡16፡3</t>
  </si>
  <si>
    <t>73:21:6.</t>
  </si>
  <si>
    <t>መምህር ተማሪ ጥምርታ የመጀመሪያ ዲግሪ</t>
  </si>
  <si>
    <t>1:17.</t>
  </si>
  <si>
    <r>
      <t xml:space="preserve">መምህር ተማሪ </t>
    </r>
    <r>
      <rPr>
        <sz val="10"/>
        <color theme="1"/>
        <rFont val="Times New Roman"/>
        <family val="1"/>
      </rPr>
      <t> </t>
    </r>
    <r>
      <rPr>
        <sz val="10"/>
        <color theme="1"/>
        <rFont val="Power Geez Unicode1"/>
      </rPr>
      <t xml:space="preserve">ጥምርታ ድህረ-ምረቃ </t>
    </r>
  </si>
  <si>
    <t>1፡6</t>
  </si>
  <si>
    <t>1:06.</t>
  </si>
  <si>
    <t>ተማሪዎች በወቅቱ እንዲመረቁ ማስቻል</t>
  </si>
  <si>
    <t>የድህረ ምረቃ ተማሪዎች በወቅቱ የመመረቅ ምጣኔ/Graduate on time/</t>
  </si>
  <si>
    <t>የቅድመ-ምረቃ ተማሪዎች በወቅቱ የመመረቅ ምጣኔ/Graduate on time/</t>
  </si>
  <si>
    <r>
      <t>ልዩ ፍላጎት ያላቸው</t>
    </r>
    <r>
      <rPr>
        <sz val="10"/>
        <color theme="1"/>
        <rFont val="Times New Roman"/>
        <family val="1"/>
      </rPr>
      <t> </t>
    </r>
    <r>
      <rPr>
        <sz val="10"/>
        <color theme="1"/>
        <rFont val="Power Geez Unicode1"/>
      </rPr>
      <t xml:space="preserve">ተማሪዎች በወቅቱ የማጠናቀቅ </t>
    </r>
    <r>
      <rPr>
        <sz val="10"/>
        <color theme="1"/>
        <rFont val="Times New Roman"/>
        <family val="1"/>
      </rPr>
      <t> </t>
    </r>
    <r>
      <rPr>
        <sz val="10"/>
        <color theme="1"/>
        <rFont val="Power Geez Unicode1"/>
      </rPr>
      <t>ምጣኔ</t>
    </r>
  </si>
  <si>
    <t>የሴቶች በወቅቱ የማጠናቀቅ ምጣኔ</t>
  </si>
  <si>
    <t>ልዩ ድጋፍ የሚሹ ክልሎች ተማሪዎች በወቅቱ የማጠናቀቅ ምጣኔ</t>
  </si>
  <si>
    <t>3.2 የፕሮግራም ብዝሃነትንና የተማሪዎችን ቁጥር ማሳደግ</t>
  </si>
  <si>
    <t>የፕሮግራም ብዝሀነት ማሳደግ</t>
  </si>
  <si>
    <t>መደበኛ የድህረ ምረቃ ፕሮግራሞች ብዛት</t>
  </si>
  <si>
    <t>መደበኛ ያልሆኑ የድህረ ምረቃ ፕሮግራሞች ብዛት</t>
  </si>
  <si>
    <t xml:space="preserve">መደበኛ የቅድመ ምረቃ ፕሮግራሞች ብዛት </t>
  </si>
  <si>
    <t xml:space="preserve">መደበኛ ያልሆኑ የቅድ ምረቃ ፕሮግራሞች ብዛት </t>
  </si>
  <si>
    <t>የድህረ ምረቃ ንዑስ ፕሮግራሞች ብዛት (ዶክተሬት ዲግሪ)</t>
  </si>
  <si>
    <t>የድህረ ምረቃ ንዑስ ፕሮግራሞች ብዛት (ማስተርስ ዲግሪ)</t>
  </si>
  <si>
    <t>የተማሪዎች ቁጥር ማሳደግ</t>
  </si>
  <si>
    <t>የቅ/ምረቃ ተማሪዎች ቅበላ በቁጥር</t>
  </si>
  <si>
    <t>የድህረ ምረቃ ተማሪዎች ቅበላ በቁጥር</t>
  </si>
  <si>
    <t>የድህረ ምረቃ(Fast track) ተማሪዎች ቅበላ በቁጥር</t>
  </si>
  <si>
    <t>መደበኛ ባልሆኑ (ማታ፣የክረምት፣ቅዳሜና እሁድ፣ ርቀት) የድህረ ምረቃ መርሃግብር ተጠቃሚ የሆኑ አዲስ ተማሪዎች</t>
  </si>
  <si>
    <t>መደበኛ ባልሆኑ (ማታ፣የክረምት፣ቅዳሜና እሁድ፣ ርቀት) ቅድመ ምረቃ መርሃግብር ተጠቃሚ የሆኑ አዲስ ተማሪዎች</t>
  </si>
  <si>
    <t>በመጀመሪያ ዲግሪ ተማሪዎች ምጣኔ ድጋፍ የሚሹ ክልሎች</t>
  </si>
  <si>
    <t>በሁለተኛ ዲግሪ የሴቶች ተማሪዎች ተሳትፎ</t>
  </si>
  <si>
    <t>በሶስተኛ ዲግሪ የሴት ተማሪዎች ተሳትፎ</t>
  </si>
  <si>
    <t>3.3 ሁለንተናዊ ስብዕናቸው የታነጸ ምሩቃንን ማፍራት</t>
  </si>
  <si>
    <t>ተማሪዎች ተጓዳኝና ሙያዊ ክህሎት  እንዲኖራቸው ማገዝ</t>
  </si>
  <si>
    <t>ከመደበኛ ስ/ትምህርት ጎን ለጎን የተተገበሩ ተጓዳኝ ስልጠናዎች</t>
  </si>
  <si>
    <t>የተቋቋሙ የሙያና የተጓዳኝ ክህሎት ክበባት ብዛት</t>
  </si>
  <si>
    <t xml:space="preserve">የተማሪዎችን የህይወት ተሞክሮና የበጎ አድራጎት ተሳትፎ ማሳደግ </t>
  </si>
  <si>
    <t>ተማሪዎች በሀገርና በተለያዩ ጉዳዮች ላይ እንዲወያዩ፣ እንዲከራከሩ፣ የተፈጠሩ ፕሮግራሞች ላይ የተሳተፉ ተማሪዎች ቁጥር</t>
  </si>
  <si>
    <t xml:space="preserve">የተዘጋጁ የምክክር መድረኮች ብዛት </t>
  </si>
  <si>
    <t>የተካሄዱ የሀገርህን እወቅ ፕሮግራሞች ብዛት</t>
  </si>
  <si>
    <t>የተከናወኑ የበጎ አድራጎት ሥራዎች ብዛት</t>
  </si>
  <si>
    <t>3.4 በሙያቸው መቀጠር የሚችሉ ወይም ስራ ፈጣሪነትን  (Entrepreneurial mindset) የተላበሱ ተመራቂዎችን ማፍራት</t>
  </si>
  <si>
    <t>የተመራቂዎችን የሥራ ፈጠራ አቅም ማጎልበት</t>
  </si>
  <si>
    <t>ተመራቂዎች የስራ እድል እንዲፈጥሩ ስልጠናዎች የወሰዱ ተማሪዎች ቁጥር</t>
  </si>
  <si>
    <t>የተለያዩ የተማሪዎች የሥራና ባህልና ስነምግባር ማሳደጊያ ስልጠናዎችን የወሰዱ ተማሪዎች በመቶኛ</t>
  </si>
  <si>
    <t>ተመራቂዎች በተመረቁበት ሙያ እንዲሰሩ ማስቻል</t>
  </si>
  <si>
    <t>ሥራ ፈጣሪ የሆኑ ምሩቃን በመቶኛ</t>
  </si>
  <si>
    <t xml:space="preserve">የተመራቂ ተማሪዎች ስራ የመያዝ ዕድል በመቶኛ </t>
  </si>
  <si>
    <t xml:space="preserve">ወደ ድህረምረቃ የገቡ ተማሪዎች በመቶኛ </t>
  </si>
  <si>
    <t>ግብ 4 ውጤታማ የአሰራር ስርዓት ማስፈን(6)</t>
  </si>
  <si>
    <t>4.1 ዘመናዊና ቀልጣፋ የአሰራር ስርአት መዘርጋት</t>
  </si>
  <si>
    <t xml:space="preserve">የአይሲቲ አገልግሎት ስርአት መዘርጋት/ ማሻሻል </t>
  </si>
  <si>
    <t>የተዘረጋ/የተሻሻለ ስርአት በቁጥር</t>
  </si>
  <si>
    <t>የውጤታማነት ግምገማ የተደረገበት ስርዓት በቁጥር</t>
  </si>
  <si>
    <t>ማሻሻያ የተደረገበት ስርዓት በቁጥር</t>
  </si>
  <si>
    <t>የመማር ማስተማር አገልግሎት አሰጣጥ የአሰራር ስርአት መዘርጋት / ማሻሻል</t>
  </si>
  <si>
    <t>የምርምር የፈጠራና የቴክኖሎጂ ሽግግር እና የማህበረስብ አገልግሎት  የአሰራር ስርአት መዘርጋት / ማሻሻል</t>
  </si>
  <si>
    <t>የአስተዳደር ስርአት መዘርጋት / ማሻሻል</t>
  </si>
  <si>
    <t xml:space="preserve">
እውቅና ያገኘ (certified) የአሰራር ስርዓት መዘርጋት</t>
  </si>
  <si>
    <t>ISO 9001:2015 ሰርቲፋይድ የሆነ የጥራት አስተዳደር ስርዓት ቅድመ ዝግጅት አፈጻጸም በመቶኛ</t>
  </si>
  <si>
    <t xml:space="preserve">ISO17025 Acredated laboratory ላቦራቶሪዎችን አክሪዴትድ ለማድረግ ቅድመ ዝግጅት አፈጻጸም በመቶኛ </t>
  </si>
  <si>
    <t>4.2 የአሰራር ስር ዓቶችን ጥራት ማረጋገጥ</t>
  </si>
  <si>
    <t>ISO 9001:2015 ሰርቲፋይድ የሆነ የጥራት አስተዳደር ስርዓት</t>
  </si>
  <si>
    <t xml:space="preserve">ISO17025 አክሪዴትድ ላቦራቶሪዎች በቁጥር </t>
  </si>
  <si>
    <t>4.3 የአስተዳደር ስራዎችን መተግበር</t>
  </si>
  <si>
    <t>ውጤታማ አስተዳደር መተግበር</t>
  </si>
  <si>
    <t>የተተገበረ ስርአት በቁጥር</t>
  </si>
  <si>
    <t>ውጤታማነት በመቶኛ</t>
  </si>
  <si>
    <t>ግብ 5 ተጽኖ ፈጣሪ ምርምርን፣ፈጠራን እና ቴክኖሎጂን ማዳበር(10)</t>
  </si>
  <si>
    <t>5.1 የምርምር ፕሮጀክቶችን መቅረጽ እና መተግበር</t>
  </si>
  <si>
    <t>አዳዲስ የምርምር ፕሮጀክቶችን መቅረጽ እና ፈንድ ማፈላለግ</t>
  </si>
  <si>
    <t>በውስጥ ድጋፍ (Internal Grant) ያገኙ አዳዲስ ፕሮፖዛሎች በቁጥር</t>
  </si>
  <si>
    <t>ከዩኒቨርሲቲ ውጭ ድጋፍ (External Grant) ያገኙ አዳዲስ ፕሮፖዛሎች በቁጥር</t>
  </si>
  <si>
    <t>ነባር የምርምር ፕሮጀክቶችን መከታተል መደገፍና ማጠናቀቅ</t>
  </si>
  <si>
    <t>ነባር ፕሮጀክቶች ብዛት</t>
  </si>
  <si>
    <t>የተጠናቀቁ ፕሮጀክቶች ብዛት</t>
  </si>
  <si>
    <t>በወቅቱ የተጠናቀቁ ፕሮጀክቶች በመቶኛ</t>
  </si>
  <si>
    <t>5.2 የቴክኖሎጂ ሽግግር ፕሮጀክቶችን መቅረጽ እና መተግበር</t>
  </si>
  <si>
    <t>አዳዲስ የቴክኖሎጂ ሽግግር ፕሮጀክቶችን መቅረጽና ፈንድ ማፈላለግ</t>
  </si>
  <si>
    <t>ነባር የቴክኖሎጂ ሽግግር ፕሮጀክቶችን መከታተል መደገፍና ማጠናቀቅ</t>
  </si>
  <si>
    <t>5.3 የፈጠራ እና ቴክኖሎጂ ውጤታማነት እና አተገባበርን ማጎልበት</t>
  </si>
  <si>
    <t>የፈጠራ ስራዎችን ማበረታታትና መደገፍ</t>
  </si>
  <si>
    <t>ድጋፍ የተደረገላቸው የፈጠራ ሥራዎች ብዛት</t>
  </si>
  <si>
    <t xml:space="preserve">በሀገር አቀፍ ወይም በአለም አቀፍ ደረጃ የተሳተፉ የፈጠራ ስራዎች በቁጥር </t>
  </si>
  <si>
    <t>የፈጠራ ስራዎችን ማጎልበትና ወደ ተግባር ማሸጋገር</t>
  </si>
  <si>
    <t>በማበልጸጊያ ማዕከል (incubation Center) የበለጸጉ የፈጠራ ስራዎች በቁጥር</t>
  </si>
  <si>
    <t>የፈጠራ ባለቤትነት መብት ያገኙ (IPR) የፈጠራ ስራዎች በቁጥር</t>
  </si>
  <si>
    <t>ወደ ምርት/አገልግሎት(Commercialized Product) የገቡ የፈጠራ ስራዎች ብዛት</t>
  </si>
  <si>
    <t>ችግር ፈቺ ቴክኖሎጂዎችን ማላመድና ማስተላለፍ</t>
  </si>
  <si>
    <t>የተላመዱ/ኢንኪዩቤት የተደረጉ ቴክኖሎጂዎች ብዛት</t>
  </si>
  <si>
    <t>የተላለፉ ቴክኖሎጂዎች ብዛት</t>
  </si>
  <si>
    <t>5.4 የምርምር ውጤቶችን ተደራሽ ማድረግ</t>
  </si>
  <si>
    <t>የምርምር ውጤቶችን ማሳተም</t>
  </si>
  <si>
    <t xml:space="preserve">ዕውቅና ባላቸው ጆርናሎች (Scopus Indexed) ላይ የታተሙ የምርምር ስራዎች ብዛት </t>
  </si>
  <si>
    <t xml:space="preserve">ዕውቅና ባላቸው ኮንፍረንስ ፕሪሲዲንግስ (Scopus Indexed) ላይ የታተሙ የምርምር ስራዎች ብዛት </t>
  </si>
  <si>
    <t>የታተሙ የመጽሐፍ ምዕራፎች (Book Chapter) በቁጥር</t>
  </si>
  <si>
    <t>የታተሙ መጽሐፍት በቁጥር</t>
  </si>
  <si>
    <t>የምርምር ህትመቶችን አለም አቀፍ ተጽዕኖ ማሳደግ</t>
  </si>
  <si>
    <t>የሳይቴሽን ብዛት በቁጥር</t>
  </si>
  <si>
    <t>ግብ 6 ሀገር አቀፍ እና ዓለም አቀፍ አጋርነትን እና ትብብርን ማሳደግ እና ማረጋገጥ(3)</t>
  </si>
  <si>
    <t>6.1 ከሀገር እና ዓለም አቀፍ አጋሮች ጋር ትብብርን ማጎልበት</t>
  </si>
  <si>
    <t>ከሀገር አቀፍ ተቋማት ጋር ስትራቴጂክ በሆኑ ጉዳዮች ላይ በትብብር መስራት</t>
  </si>
  <si>
    <t>አዲስ የተፈረሙ የትብብር ስምምነቶች (MOU) በቁጥር</t>
  </si>
  <si>
    <t>ወደተግባር የገቡ አዲስ የትብብር ስምምነቶች በቁጥር</t>
  </si>
  <si>
    <t>ወደተግባር የገቡ ነባር የትብብር ስምምነቶች በቁጥር</t>
  </si>
  <si>
    <t>ወደ ዘላቂ አጋርነት የተሸጋገሩ ስምምነቶች በቁጥር</t>
  </si>
  <si>
    <t>ከአለም አቀፍ ተቋማት ጋር ስትራቴጂክ በሆኑ ጉዳዮች ላይ በትብብር መስራት</t>
  </si>
  <si>
    <t>6.2 ከሀገር አቀፍ እና ዓለም አቀፍ አጋሮች ጋር በትብብር የጋራ ፕሮጀክቶችን ማከናወን</t>
  </si>
  <si>
    <t>ከሀገር አቀፍ ተቋማት ጋር ፕሮጀክቶችን መቅረጽ እና መተግበር</t>
  </si>
  <si>
    <t xml:space="preserve">በጋራ የተሰሩ የምርምር ፕሮጀክቶች በቁጥር </t>
  </si>
  <si>
    <t xml:space="preserve">በጋራ የተሰሩ ምርምር ያልሆኑ ፕሮጀክቶች በቁጥር </t>
  </si>
  <si>
    <t xml:space="preserve">ከአለም አቀፍ ተቋማት ጋር ፕሮጀክቶችን መቅረጽ እና መተግበር </t>
  </si>
  <si>
    <t>የተከናወነ የዓለም አቀፍ ምርምር እና የአካዳሚክ ሠራተኞች ልውውጥ (outgoing) በቁጥር</t>
  </si>
  <si>
    <t>የተከናወነ የዓለም አቀፍ ምርምር እና የአካዳሚክ ሠራተኞች ልውውጥ (incoming) በቁጥር</t>
  </si>
  <si>
    <t>6.3 ስትራቴጂክ በሆኑ ሀገር አቀፍ እና ዓለም አቀፍ ማህበራት አባልነትን ማጠናከር</t>
  </si>
  <si>
    <t>በሀገር አቀፍ እና አለም አቀፍ ማህበራት አባል መሆን</t>
  </si>
  <si>
    <t>የሀገር አቀፍ ማህበራት አባልነት በቁጥር</t>
  </si>
  <si>
    <t>የአለም አቀፍ ማህበራት አባልነት በቁጥር</t>
  </si>
  <si>
    <t>ግብ 7 የኢንዱስትሪ ተሳትፎን ማጠናከር(3)</t>
  </si>
  <si>
    <t>7.1 የዩኒቨርሲቲ እንዱስትሪ ትሥሥር ማጠናከር</t>
  </si>
  <si>
    <t>በመማር ማስተማር ሂደት ውስጥ የኢንዱስትሪ ባለሙያዎችን ተሳትፎ ማሳደግ</t>
  </si>
  <si>
    <t>በዩኒቨርሲቲው የኮርስ አሰጣጥ ሂደት ውስጥ የተሳተፉ የኢንዱስትሪ ባለሙያዎች ቁጥር</t>
  </si>
  <si>
    <r>
      <t>በስርዓተ-ትምህርት   ዝግጅትና ማሻሻል የኢንዱስትሪዎችንና የሴክተር መስሪያ</t>
    </r>
    <r>
      <rPr>
        <sz val="10"/>
        <color theme="1"/>
        <rFont val="Times New Roman"/>
        <family val="1"/>
      </rPr>
      <t> </t>
    </r>
    <r>
      <rPr>
        <sz val="10"/>
        <color theme="1"/>
        <rFont val="Power Geez Unicode1"/>
      </rPr>
      <t>ቤቶች ተሳትፎ በቁጥር</t>
    </r>
  </si>
  <si>
    <t>ተማሪዎችን በማማከርና በምዘና ስራ ላይ የተሳተፉ የኢንዱስትሪ ባለሙያዎች ቁጥር</t>
  </si>
  <si>
    <t>የኢንዱስትሪ አቅም ማጎልበት</t>
  </si>
  <si>
    <t>በኢንዱስትሪው እና በዩኒቨርሲቲው በጋራ የሚካሄዱ ለኢንዱስትሪ የተቀረጹ የአካዳሚክ ፕሮግራሞች ብዛት</t>
  </si>
  <si>
    <t>ለኢንዱስትሪዎች የተሰጡ የአጭር ጊዜ የአቅም ግንባታ ሥልጠናዎች ብዛት</t>
  </si>
  <si>
    <t>ለኢንዱስትሪ የተሰጠ የነፃ ትምህርት ዕድል በቁጥር</t>
  </si>
  <si>
    <t>የትብብር ምርምሮችን እና ፕሮጀክቶችን ማሳደግ</t>
  </si>
  <si>
    <t>ከኢንዱስትሪ ጋር የሚሰሩ የትብብር ፕሮጄክቶች ብዛት</t>
  </si>
  <si>
    <t>ለኢንዱስትሪ የተሰጡ የምክር አገልግሎቶች በቁጥር</t>
  </si>
  <si>
    <t>ከኢንዱስትሪ ጋር በትብብር የተዘጋጁ ኮንፈረንሶች እና አውደ ጥናቶች በቁጥር</t>
  </si>
  <si>
    <t>ግብ 8 በፍላጎት ላይ የተመሠረተ የማህበረሰብ ተሳትፎ ማስደግ እና አገር በቀል እውቀቶችን ማዳበር(3)</t>
  </si>
  <si>
    <t xml:space="preserve"> 8.1 የህብረተሰቡን ፍላጎት ያገናዘበ ችግር ፈቺ የማህበረሰብ አገልግሎት ፕሮጀክቶችን መቅረጽ እና መተግበር</t>
  </si>
  <si>
    <t>የማህበረሰብ ችግሮችን ማህበረሰቡን ባሳተፈ መልኩ በጥናት መለየት</t>
  </si>
  <si>
    <t>የተለዩ የማህበረሰብ ችግሮች ብዛት በቁጥር</t>
  </si>
  <si>
    <t>ቅድሚያ የተሰጣቸው የማህበረሰብ ችግሮች ብዛት በቁጥር</t>
  </si>
  <si>
    <t>አዳዲስ የማህበረሰብ አገልግሎት  ፕሮጀክቶችን ከማህበረሰቡ ጋር መቅረጽና ፈንድ ማፈላለግ</t>
  </si>
  <si>
    <t>ነባር የማህበረሰብ አገልግሎት ፕሮጀክቶችን መከታተል መደገፍ ማጠናቀቅና ማስተላለፍ</t>
  </si>
  <si>
    <t>የተጠናቀቁና የተላለፉ ፕሮጀክቶች ብዛት</t>
  </si>
  <si>
    <t>8.2 የማህበረሰቡን የሳይንስ ባህልን ማሳደግ</t>
  </si>
  <si>
    <t>የሳይንስ ባህል ግንባታ መርሃ ግብሮችን ማከናወን</t>
  </si>
  <si>
    <t>የተላለፈ የማህበረሰብ ሬድዮ ፕሮግራም ብዛት በሰዓት</t>
  </si>
  <si>
    <t>የተካሄዱ የሳይንስ ኩነቶች በቁጥር</t>
  </si>
  <si>
    <t>የአንደኛ እና የሁለተኛ ደረጃ ተማሪዎችን የሳይንስ ባህል ማዳበር</t>
  </si>
  <si>
    <t>የዩኒቨርሲቲውን የሳይንስ ሙዚየም የጎበኙ ተማሪዎችማህበረሰብ ክፍሎች በቁጥር</t>
  </si>
  <si>
    <t>በ STEM ማዕከል ስልጠና የተሰጣቸው የሁለተኛ ደረጃ ተማሪዎች በቁጥር</t>
  </si>
  <si>
    <t>በ STEM ማዕከል ድጋፍ የተደረገላቸው የሁለተኛ ደረጃ ተማሪዎች ፕሮጀክቶች   በቁጥር</t>
  </si>
  <si>
    <t xml:space="preserve"> 8.3 የሀገር በቀል እውቀቶችን ማዳበር</t>
  </si>
  <si>
    <t>ሀገር በቀል እውቀቶችን በስርዓተ ትምህርትና በምርምር ማጎልበት</t>
  </si>
  <si>
    <t xml:space="preserve">በስርዓተ ትምህርት የተካተቱ የሀገር በቀል እውቀቶች በቁጥር </t>
  </si>
  <si>
    <t>በሀገር በቀል እውቀት ላይ የተካሄዱ ምርምሮች በቁጥር</t>
  </si>
  <si>
    <t>ሳይንሳዊ እንዲሆኑ የለሙና የተላለፉ ሀገር በቀል እውቀቶች በቁጥር</t>
  </si>
  <si>
    <t>ግብ 9 ተቋማዊ አቅምን ማጠናከር(20)</t>
  </si>
  <si>
    <t>9.1 የዩኒቨርሲቲውን የሰው ሃብት አቅም ማጠናከር</t>
  </si>
  <si>
    <t>የአመራርን አቅም ማጎልበት</t>
  </si>
  <si>
    <t>ለከፍተኛ አመራር የተሰጡ ስልጠናዎች ቁጥር</t>
  </si>
  <si>
    <t>ስልጠናውን የወሰዱ ከፍተኛ አመራር ቁጥር</t>
  </si>
  <si>
    <t>ለመካከለኛ አመራር የተሰጡ ስልጠናዎች ቁጥር</t>
  </si>
  <si>
    <t>ስልጠናውን የወሰዱ የመካከለኛ አመራር ቁጥር</t>
  </si>
  <si>
    <t>ለዝቅተኛ አመራር የተሰጡ ስልጠናዎች ቁጥር</t>
  </si>
  <si>
    <t>ስልጠናውን የወሰዱ የዝቅተኛ አመራር ቁጥር</t>
  </si>
  <si>
    <t>የሰራተኞችን አቅም ማጎልበት</t>
  </si>
  <si>
    <t>ለሰራተኞች የተሰጡ ሙያ ማግልበቻ ስልጠናዎች ቁጥር</t>
  </si>
  <si>
    <t>የሙያ ማግልበቻ ስልጠና የወሰዱ ሰራተኞች ቁጥር</t>
  </si>
  <si>
    <t>በኢንዱስትሪ ገብተው የተገባር ልምምድ ያደረጉ መምህራን</t>
  </si>
  <si>
    <t>የማስተማር ስነዘዴ (HDP)የወሰዱ መምህራን ቁጥር</t>
  </si>
  <si>
    <t>የዲፕሎማ እና የመጀመሪያ ዲግሪ ስልጠና የተሰጣቸው ሰራተኞች ቁጥር</t>
  </si>
  <si>
    <t xml:space="preserve">የሁለተኛ ዲግሪ ስልጠና እድል የተሰጣቸው ሰራተኞች ቁጥር </t>
  </si>
  <si>
    <t xml:space="preserve">የሶስተኛ ዲግሪ ስልጠና እድል የተሰጣቸው ሰራተኞች ቁጥር </t>
  </si>
  <si>
    <t>የሙያ ማረጋገጫ ያገኙ መምህራን ቁጥር</t>
  </si>
  <si>
    <t>የሰው ሃይል ማሟላት</t>
  </si>
  <si>
    <t>አዲስ የተቀጠሩ የአስተዳደር ሰራትኞች ቁጥር</t>
  </si>
  <si>
    <t>አዲስ የተቀጠሩ የቴክኒካል ረዳቶች ቁጥር</t>
  </si>
  <si>
    <t>አዲስ የተቀጠሩ ፕሮፈሰሮች ቁጥር (ረዳት፣ተባባሪ፣ሙሉ ፕሮፌሰር)</t>
  </si>
  <si>
    <t>9.2 የሴቶችን አቅም በማጎልበት ተሳትፏቸውን  ማሳደግ</t>
  </si>
  <si>
    <t>የሴት ሰራተኞች አቅም ማጎልበቻ ልዩ ድጋፍ ማድረግ</t>
  </si>
  <si>
    <t>ልዩ ድጋፍ ያገኙ ሴት ሠራተኞች ብዛት</t>
  </si>
  <si>
    <t>የሴት መምህራን ምጣኔ ማሳደግ</t>
  </si>
  <si>
    <t xml:space="preserve">ያደገ የሴት መምህራን ምጣኔ </t>
  </si>
  <si>
    <t>የሴቶችን የአመራር ተሳትፎ ማሳደግ</t>
  </si>
  <si>
    <t>በተቋም አመራርነት የሴቶች ተሳትፎ ምጣኔ</t>
  </si>
  <si>
    <t>የሴቶችን የምርምር ተሳትፎ ማሳደግ</t>
  </si>
  <si>
    <t>ያደገ የሴት ተመራማሪዎች በመቶኛ</t>
  </si>
  <si>
    <t>9.3 ምቹ የመማር ማስተማር አካባቢን መፍጠር</t>
  </si>
  <si>
    <t>በግብዓት የተሟሉ የመማር ማስተማር መገልገያዎች ማደራጀት</t>
  </si>
  <si>
    <t>የተደራጀ ቤተ መጽሃፍት በቁጥር</t>
  </si>
  <si>
    <t>የተደራጁ ማስተማሪያ ቤተሙከራዎች በቁጥር</t>
  </si>
  <si>
    <t>የተደራጁ ማስተማሪያ ዎርክሾፖች በቁጥር</t>
  </si>
  <si>
    <t>በግብዓት የተሟሉ መማሪያ ክፍሎች</t>
  </si>
  <si>
    <t>በግብዓት የተሟሉ ዘመናዊ መማሪያ ክፍሎች (ስማርት)</t>
  </si>
  <si>
    <t>9.4 ምቹ የስራና መኖሪያ አካባቢ መፍጠር</t>
  </si>
  <si>
    <t>ለሰራተኞችና ተማሪዎች የተመቻቹ ፋሲሊቲዎች</t>
  </si>
  <si>
    <t xml:space="preserve">በስታንዳርድ መሰረት በግብዓት የተሟሉ የሰራተኛ ቢሮዎች በመቶኛ </t>
  </si>
  <si>
    <t>በግብዓት የተሟሉ የተማሪዎች አገልግሎት መስጫ ማዕከላት ቁጥር</t>
  </si>
  <si>
    <t>በግብዓት የተሟሉ የሰራተኞችና ተማሪዎች የስፖርት እና መዝናኛ ፋሲሊቲዎች ቁጥር</t>
  </si>
  <si>
    <t>የአይሲቲ መሰረተ ልማት ማሟላት</t>
  </si>
  <si>
    <t>የተሟላ የአይሲቲ መሰረተ ልማት በመቶኛ</t>
  </si>
  <si>
    <t>1.1 ኢንትርኔት ያልደረሰባቸውን ኮንፒውተር ላቦች ኢንተርኔት ገመድ መዘርጋት</t>
  </si>
  <si>
    <t>?</t>
  </si>
  <si>
    <t>አጋዥ ማዕከላትን ማደራጀት</t>
  </si>
  <si>
    <t>የተሟላ የድምጽና ምስል ማዘጋጃ ማዕከል (ስቱድዮ)</t>
  </si>
  <si>
    <t>የተደራጀ የተከታታይ ስልጠና መስጫ ማዕከል(training center)</t>
  </si>
  <si>
    <t>የተደራጀ የፈተና ማዕከል (ማዘጋጃ፣ ማባዣ፤ማስቀመጫ)</t>
  </si>
  <si>
    <t>የተደራጀ የፐብሊኬሽን ማዕከል (ጆርናል)</t>
  </si>
  <si>
    <t>9.6 ንጹህ፣ አረንጓዴ እና ሰላማዊ ካምፓስ መፍጠር</t>
  </si>
  <si>
    <t>የተድራጀ የባህል መዕከል</t>
  </si>
  <si>
    <t>የግንባታ ፕሮጀክቶችን በወቅቱ ማጠናቀቅ</t>
  </si>
  <si>
    <t>የግንባታ ፕሮጀክቶች አፈጻጸም በመቶኛ</t>
  </si>
  <si>
    <t>ወቅታዊ ጥገና ማከናወን</t>
  </si>
  <si>
    <t>የተጠገኑ መሰረተ ልማቶች ቁጥር</t>
  </si>
  <si>
    <t>ግብ 10 የልህቀት ማዕከላትን አቅም እና ክህሎት ያሳደግ(5)</t>
  </si>
  <si>
    <t>10.1 የልህቀት ማዕከላትን በግብዓት ማደራጀት</t>
  </si>
  <si>
    <t>የተጠገኑ የመምህራን መኖሪያ ቤቶች ቁጥር</t>
  </si>
  <si>
    <t>አዳዲስ የመሰረተ ልማት ፕሮጀክቶችን ማጥናት መቅረጽ እና ማጸደቅ</t>
  </si>
  <si>
    <t>የተቀረጹ የመሰረተ ልማት ፕሮጀክቶች ቁጥር</t>
  </si>
  <si>
    <t>የተፈቀደ የመሰረተ ልማት ፕሮጀክቶች ቁጥር</t>
  </si>
  <si>
    <t>10.2 የልህቀት ማዕከላትን በሰው ሃይል ማደራጀት</t>
  </si>
  <si>
    <t>የአረንጓዴ ካምፓስ እኒሼቲቭ መተግበር</t>
  </si>
  <si>
    <t>የአማራጭ ታዳሽ ኃይል ድርሻ በመቶኛ</t>
  </si>
  <si>
    <t>የተቋቋመ የፍሳሽ ማጣሪያና ማስወገጃ ጣቢያ ቁጥር</t>
  </si>
  <si>
    <t>በተክል የተሸፈነ የዩኒቨርሲቲው ግቢ በሄክታር</t>
  </si>
  <si>
    <t>የልህቀት ማዕከላትን በዘመናዊ የቤተሙከራ መሳሪያዎችና ግብዓት ማደራጀት</t>
  </si>
  <si>
    <t>የተደራጀ ቤተሙከራ ቁጥር</t>
  </si>
  <si>
    <t>የማዕከላዊ ቤትሙከራን በዘመናዊ የቤተሙከራ መሳሪያዎችና ግብዓት ማደራጀት</t>
  </si>
  <si>
    <t>የተደራጀ ማዕከላዊ ቤተሙከራ ቁጥር</t>
  </si>
  <si>
    <t>የልህቀት ማዕከላትን የስልጠና ማዕከል ማደራጀት</t>
  </si>
  <si>
    <t>የተደራጀ የስልጠና ማዕከል ቁጥር</t>
  </si>
  <si>
    <t>የልህቀት ማዕከላትን የሰው ሃይል ፍላጎት ማሟላት</t>
  </si>
  <si>
    <t>የተደራጀ የሰው ሃይል በመቶኛ</t>
  </si>
  <si>
    <t>በልህቀት ማዕከል ኣባል የሆኑ የአካዳሚክ ሰራተኞች መቶኛ</t>
  </si>
  <si>
    <t>ከልህቀት ማዕከል ምርምር ጋር የተጣጣመረ የድህረ ምረቃ ተማሪዎች የመመረቂያ ምርምር ፕሮጀክት በመቶኛ</t>
  </si>
  <si>
    <t>1st Quarter</t>
  </si>
  <si>
    <t>2nd Quarter</t>
  </si>
  <si>
    <t>3rd Quarter</t>
  </si>
  <si>
    <t>July</t>
  </si>
  <si>
    <t>Aug</t>
  </si>
  <si>
    <t>Sep</t>
  </si>
  <si>
    <t>Nov</t>
  </si>
  <si>
    <t>Dec</t>
  </si>
  <si>
    <t>Jan</t>
  </si>
  <si>
    <t>Feb</t>
  </si>
  <si>
    <t>Mar</t>
  </si>
  <si>
    <t>May</t>
  </si>
  <si>
    <t>June</t>
  </si>
  <si>
    <t>week1</t>
  </si>
  <si>
    <t>week2</t>
  </si>
  <si>
    <t>week3</t>
  </si>
  <si>
    <t>week4</t>
  </si>
  <si>
    <t>April</t>
  </si>
  <si>
    <t>Oct</t>
  </si>
  <si>
    <t>4th quarter</t>
  </si>
  <si>
    <t xml:space="preserve">የአዲስ አበባ ሳይንስና ቴክኖሎጂ ዩኒቨርሲቲ የ 2015 ዓ.ም. ዕቅድ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</si>
</sst>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00%"/>
    <numFmt numFmtId="166" formatCode="0.000"/>
  </numFmts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color theme="1"/>
      <name val="Power Geez Unicode1"/>
    </font>
    <font>
      <b/>
      <sz val="10"/>
      <color theme="1"/>
      <name val="Power geez unicode1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Power Geez Unicode1"/>
    </font>
    <font>
      <sz val="10"/>
      <color theme="1"/>
      <name val="Arial"/>
      <family val="2"/>
    </font>
    <font>
      <sz val="10"/>
      <color theme="1"/>
      <name val="Power geez unicode3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Ebrima"/>
    </font>
    <font>
      <sz val="10"/>
      <color theme="1"/>
      <name val="Times New Roman"/>
      <family val="1"/>
    </font>
    <font>
      <b/>
      <sz val="10"/>
      <color theme="1"/>
      <name val="Calibri"/>
      <family val="2"/>
    </font>
    <font>
      <sz val="10"/>
      <color theme="1"/>
      <name val="Nyala"/>
    </font>
    <font>
      <sz val="10"/>
      <color theme="1"/>
      <name val="Calibri"/>
      <family val="2"/>
    </font>
    <font>
      <sz val="10"/>
      <color rgb="FFFF0000"/>
      <name val="Power Geez Unicode1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00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6">
    <xf numFmtId="0" fontId="0" fillId="0" borderId="0" xfId="0"/>
    <xf numFmtId="0" fontId="4" fillId="0" borderId="5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/>
    <xf numFmtId="0" fontId="4" fillId="0" borderId="2" xfId="0" applyFont="1" applyBorder="1"/>
    <xf numFmtId="0" fontId="6" fillId="0" borderId="8" xfId="0" applyFont="1" applyBorder="1"/>
    <xf numFmtId="9" fontId="5" fillId="5" borderId="1" xfId="1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/>
    </xf>
    <xf numFmtId="9" fontId="5" fillId="5" borderId="1" xfId="1" applyNumberFormat="1" applyFont="1" applyFill="1" applyBorder="1" applyAlignment="1">
      <alignment horizontal="center"/>
    </xf>
    <xf numFmtId="9" fontId="8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7" fillId="5" borderId="1" xfId="0" applyFont="1" applyFill="1" applyBorder="1" applyAlignment="1"/>
    <xf numFmtId="0" fontId="8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4" fontId="9" fillId="0" borderId="10" xfId="0" applyNumberFormat="1" applyFont="1" applyBorder="1" applyAlignment="1">
      <alignment vertical="center" wrapText="1"/>
    </xf>
    <xf numFmtId="9" fontId="6" fillId="0" borderId="8" xfId="0" applyNumberFormat="1" applyFont="1" applyBorder="1" applyAlignment="1">
      <alignment wrapText="1"/>
    </xf>
    <xf numFmtId="9" fontId="6" fillId="0" borderId="9" xfId="0" applyNumberFormat="1" applyFont="1" applyBorder="1" applyAlignment="1">
      <alignment wrapText="1"/>
    </xf>
    <xf numFmtId="9" fontId="5" fillId="5" borderId="1" xfId="1" applyNumberFormat="1" applyFont="1" applyFill="1" applyBorder="1" applyAlignment="1">
      <alignment wrapText="1"/>
    </xf>
    <xf numFmtId="9" fontId="6" fillId="5" borderId="1" xfId="0" applyNumberFormat="1" applyFont="1" applyFill="1" applyBorder="1" applyAlignment="1">
      <alignment wrapText="1"/>
    </xf>
    <xf numFmtId="4" fontId="6" fillId="0" borderId="8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3" fontId="6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164" fontId="5" fillId="5" borderId="1" xfId="1" applyNumberFormat="1" applyFont="1" applyFill="1" applyBorder="1" applyAlignment="1">
      <alignment wrapText="1"/>
    </xf>
    <xf numFmtId="164" fontId="6" fillId="5" borderId="1" xfId="0" applyNumberFormat="1" applyFont="1" applyFill="1" applyBorder="1" applyAlignment="1">
      <alignment wrapText="1"/>
    </xf>
    <xf numFmtId="164" fontId="7" fillId="5" borderId="1" xfId="0" applyNumberFormat="1" applyFont="1" applyFill="1" applyBorder="1" applyAlignment="1"/>
    <xf numFmtId="164" fontId="7" fillId="4" borderId="1" xfId="0" applyNumberFormat="1" applyFont="1" applyFill="1" applyBorder="1" applyAlignment="1"/>
    <xf numFmtId="9" fontId="8" fillId="0" borderId="9" xfId="0" applyNumberFormat="1" applyFont="1" applyBorder="1" applyAlignment="1">
      <alignment vertical="center" wrapText="1"/>
    </xf>
    <xf numFmtId="10" fontId="6" fillId="5" borderId="1" xfId="0" applyNumberFormat="1" applyFont="1" applyFill="1" applyBorder="1" applyAlignment="1">
      <alignment wrapText="1"/>
    </xf>
    <xf numFmtId="10" fontId="7" fillId="5" borderId="1" xfId="0" applyNumberFormat="1" applyFont="1" applyFill="1" applyBorder="1" applyAlignment="1"/>
    <xf numFmtId="164" fontId="6" fillId="4" borderId="1" xfId="0" applyNumberFormat="1" applyFont="1" applyFill="1" applyBorder="1" applyAlignment="1">
      <alignment wrapText="1"/>
    </xf>
    <xf numFmtId="9" fontId="7" fillId="4" borderId="1" xfId="0" applyNumberFormat="1" applyFont="1" applyFill="1" applyBorder="1" applyAlignment="1"/>
    <xf numFmtId="9" fontId="6" fillId="0" borderId="8" xfId="0" applyNumberFormat="1" applyFont="1" applyBorder="1" applyAlignment="1">
      <alignment vertical="center" wrapText="1"/>
    </xf>
    <xf numFmtId="9" fontId="6" fillId="0" borderId="8" xfId="0" applyNumberFormat="1" applyFont="1" applyBorder="1"/>
    <xf numFmtId="9" fontId="6" fillId="0" borderId="9" xfId="0" applyNumberFormat="1" applyFont="1" applyBorder="1"/>
    <xf numFmtId="9" fontId="5" fillId="5" borderId="1" xfId="1" applyNumberFormat="1" applyFont="1" applyFill="1" applyBorder="1"/>
    <xf numFmtId="9" fontId="6" fillId="5" borderId="1" xfId="0" applyNumberFormat="1" applyFont="1" applyFill="1" applyBorder="1"/>
    <xf numFmtId="0" fontId="6" fillId="0" borderId="2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20" fontId="8" fillId="0" borderId="9" xfId="0" applyNumberFormat="1" applyFont="1" applyBorder="1" applyAlignment="1">
      <alignment vertical="center" wrapText="1"/>
    </xf>
    <xf numFmtId="20" fontId="6" fillId="0" borderId="8" xfId="0" applyNumberFormat="1" applyFont="1" applyBorder="1" applyAlignment="1">
      <alignment horizontal="center" vertical="center" wrapText="1"/>
    </xf>
    <xf numFmtId="10" fontId="8" fillId="0" borderId="9" xfId="0" applyNumberFormat="1" applyFont="1" applyBorder="1" applyAlignment="1">
      <alignment vertical="center" wrapText="1"/>
    </xf>
    <xf numFmtId="0" fontId="3" fillId="7" borderId="8" xfId="0" applyFont="1" applyFill="1" applyBorder="1" applyAlignment="1">
      <alignment horizontal="center" vertical="center" wrapText="1"/>
    </xf>
    <xf numFmtId="9" fontId="6" fillId="7" borderId="8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13" fillId="0" borderId="0" xfId="0" applyFont="1" applyAlignment="1">
      <alignment horizontal="center"/>
    </xf>
    <xf numFmtId="0" fontId="8" fillId="0" borderId="10" xfId="0" applyFont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9" fontId="6" fillId="7" borderId="11" xfId="0" applyNumberFormat="1" applyFont="1" applyFill="1" applyBorder="1" applyAlignment="1">
      <alignment horizontal="center" vertical="center" wrapText="1"/>
    </xf>
    <xf numFmtId="9" fontId="15" fillId="0" borderId="9" xfId="0" applyNumberFormat="1" applyFont="1" applyBorder="1" applyAlignment="1">
      <alignment vertical="center" wrapText="1"/>
    </xf>
    <xf numFmtId="0" fontId="6" fillId="7" borderId="8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/>
    <xf numFmtId="9" fontId="6" fillId="4" borderId="1" xfId="0" applyNumberFormat="1" applyFont="1" applyFill="1" applyBorder="1" applyAlignment="1"/>
    <xf numFmtId="164" fontId="5" fillId="5" borderId="1" xfId="1" applyNumberFormat="1" applyFont="1" applyFill="1" applyBorder="1"/>
    <xf numFmtId="164" fontId="6" fillId="5" borderId="1" xfId="0" applyNumberFormat="1" applyFont="1" applyFill="1" applyBorder="1"/>
    <xf numFmtId="164" fontId="6" fillId="5" borderId="1" xfId="0" applyNumberFormat="1" applyFont="1" applyFill="1" applyBorder="1" applyAlignment="1"/>
    <xf numFmtId="164" fontId="6" fillId="4" borderId="1" xfId="0" applyNumberFormat="1" applyFont="1" applyFill="1" applyBorder="1" applyAlignment="1"/>
    <xf numFmtId="9" fontId="7" fillId="5" borderId="1" xfId="0" applyNumberFormat="1" applyFont="1" applyFill="1" applyBorder="1" applyAlignment="1"/>
    <xf numFmtId="0" fontId="6" fillId="0" borderId="5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center" vertical="center" wrapText="1"/>
    </xf>
    <xf numFmtId="164" fontId="5" fillId="4" borderId="1" xfId="1" applyNumberFormat="1" applyFont="1" applyFill="1" applyBorder="1" applyAlignment="1"/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9" fontId="6" fillId="4" borderId="8" xfId="0" applyNumberFormat="1" applyFont="1" applyFill="1" applyBorder="1" applyAlignment="1">
      <alignment horizontal="center" vertical="center" wrapText="1"/>
    </xf>
    <xf numFmtId="9" fontId="6" fillId="4" borderId="8" xfId="0" applyNumberFormat="1" applyFont="1" applyFill="1" applyBorder="1"/>
    <xf numFmtId="9" fontId="6" fillId="4" borderId="9" xfId="0" applyNumberFormat="1" applyFont="1" applyFill="1" applyBorder="1"/>
    <xf numFmtId="0" fontId="3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9" fontId="6" fillId="0" borderId="7" xfId="0" applyNumberFormat="1" applyFont="1" applyBorder="1" applyAlignment="1">
      <alignment horizontal="center" vertical="center"/>
    </xf>
    <xf numFmtId="9" fontId="6" fillId="0" borderId="7" xfId="0" applyNumberFormat="1" applyFont="1" applyBorder="1" applyAlignment="1">
      <alignment horizontal="center" vertical="center" wrapText="1"/>
    </xf>
    <xf numFmtId="9" fontId="6" fillId="0" borderId="7" xfId="0" applyNumberFormat="1" applyFont="1" applyBorder="1"/>
    <xf numFmtId="9" fontId="6" fillId="0" borderId="10" xfId="0" applyNumberFormat="1" applyFont="1" applyBorder="1"/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/>
    <xf numFmtId="9" fontId="16" fillId="8" borderId="13" xfId="0" applyNumberFormat="1" applyFont="1" applyFill="1" applyBorder="1"/>
    <xf numFmtId="0" fontId="3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/>
    <xf numFmtId="9" fontId="6" fillId="0" borderId="6" xfId="0" applyNumberFormat="1" applyFont="1" applyBorder="1"/>
    <xf numFmtId="9" fontId="6" fillId="0" borderId="8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 wrapText="1"/>
    </xf>
    <xf numFmtId="0" fontId="7" fillId="0" borderId="0" xfId="0" applyFont="1" applyAlignment="1"/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10" borderId="1" xfId="0" applyFill="1" applyBorder="1" applyAlignment="1"/>
    <xf numFmtId="0" fontId="0" fillId="11" borderId="1" xfId="0" applyFill="1" applyBorder="1" applyAlignment="1"/>
    <xf numFmtId="0" fontId="0" fillId="0" borderId="1" xfId="0" applyBorder="1"/>
    <xf numFmtId="10" fontId="0" fillId="0" borderId="1" xfId="0" applyNumberFormat="1" applyBorder="1"/>
    <xf numFmtId="0" fontId="0" fillId="12" borderId="1" xfId="0" applyFill="1" applyBorder="1" applyAlignment="1"/>
    <xf numFmtId="165" fontId="0" fillId="0" borderId="1" xfId="0" applyNumberFormat="1" applyBorder="1"/>
    <xf numFmtId="166" fontId="0" fillId="0" borderId="1" xfId="0" applyNumberFormat="1" applyBorder="1"/>
    <xf numFmtId="0" fontId="0" fillId="13" borderId="1" xfId="0" applyFill="1" applyBorder="1" applyAlignment="1"/>
    <xf numFmtId="0" fontId="0" fillId="12" borderId="1" xfId="0" applyFill="1" applyBorder="1"/>
    <xf numFmtId="0" fontId="6" fillId="0" borderId="7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5" xfId="0" applyFont="1" applyBorder="1"/>
    <xf numFmtId="0" fontId="6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%20file/work%20file/ICT/AASTU-2014-Plan-Final-V01-IDVP-ICT-Plan-with%201st%20q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-Univ-Plan"/>
      <sheetName val="2014-Unv-Plan-Cascaded"/>
      <sheetName val="2014-IDBVP-Plan"/>
      <sheetName val="2014-IDBVP-Plan-Cascaded"/>
      <sheetName val="BSC"/>
      <sheetName val="2014-ICT-cascaded-plan"/>
      <sheetName val="2014-ICT-Q1-Report"/>
    </sheetNames>
    <sheetDataSet>
      <sheetData sheetId="0"/>
      <sheetData sheetId="1">
        <row r="5">
          <cell r="K5">
            <v>0.15</v>
          </cell>
        </row>
        <row r="6">
          <cell r="K6">
            <v>0.15</v>
          </cell>
        </row>
        <row r="7">
          <cell r="K7">
            <v>0.15</v>
          </cell>
        </row>
        <row r="9">
          <cell r="K9">
            <v>0.1</v>
          </cell>
        </row>
        <row r="10">
          <cell r="K10">
            <v>0.24</v>
          </cell>
        </row>
        <row r="11">
          <cell r="K11">
            <v>0.1</v>
          </cell>
        </row>
        <row r="22">
          <cell r="K22">
            <v>0.2</v>
          </cell>
        </row>
        <row r="24">
          <cell r="K24">
            <v>0.5</v>
          </cell>
        </row>
        <row r="27">
          <cell r="K27">
            <v>0.5</v>
          </cell>
        </row>
        <row r="28">
          <cell r="K28">
            <v>0.06</v>
          </cell>
        </row>
        <row r="71">
          <cell r="K71">
            <v>1</v>
          </cell>
        </row>
        <row r="72">
          <cell r="K72">
            <v>0.3</v>
          </cell>
        </row>
        <row r="73">
          <cell r="K73">
            <v>1</v>
          </cell>
        </row>
        <row r="80">
          <cell r="K80">
            <v>0.2</v>
          </cell>
        </row>
        <row r="81">
          <cell r="K81">
            <v>0.15</v>
          </cell>
        </row>
        <row r="82">
          <cell r="K82">
            <v>0.2</v>
          </cell>
        </row>
        <row r="83">
          <cell r="K83">
            <v>0.2</v>
          </cell>
        </row>
        <row r="85">
          <cell r="K85">
            <v>0.2</v>
          </cell>
        </row>
        <row r="87">
          <cell r="K87">
            <v>0.1</v>
          </cell>
        </row>
        <row r="88">
          <cell r="K88">
            <v>0.1</v>
          </cell>
        </row>
        <row r="151">
          <cell r="K151">
            <v>0.1</v>
          </cell>
        </row>
        <row r="152">
          <cell r="K152">
            <v>0.2</v>
          </cell>
        </row>
        <row r="153">
          <cell r="K153">
            <v>0.1</v>
          </cell>
        </row>
        <row r="154">
          <cell r="K154">
            <v>0.2</v>
          </cell>
        </row>
        <row r="155">
          <cell r="K155">
            <v>0.1</v>
          </cell>
        </row>
        <row r="156">
          <cell r="K156">
            <v>0.2</v>
          </cell>
        </row>
        <row r="157">
          <cell r="K157">
            <v>0.2</v>
          </cell>
        </row>
        <row r="158">
          <cell r="K158">
            <v>0.2</v>
          </cell>
        </row>
        <row r="170">
          <cell r="K170">
            <v>0.1</v>
          </cell>
        </row>
        <row r="172">
          <cell r="K172">
            <v>0.1</v>
          </cell>
        </row>
        <row r="173">
          <cell r="K173">
            <v>0.1</v>
          </cell>
        </row>
        <row r="174">
          <cell r="K174">
            <v>0.1</v>
          </cell>
        </row>
        <row r="175">
          <cell r="K175">
            <v>0.1</v>
          </cell>
        </row>
        <row r="176">
          <cell r="K176">
            <v>0.2</v>
          </cell>
        </row>
        <row r="177">
          <cell r="K177">
            <v>0.1</v>
          </cell>
        </row>
        <row r="178">
          <cell r="K178">
            <v>0.1</v>
          </cell>
        </row>
        <row r="179">
          <cell r="K179">
            <v>0.1</v>
          </cell>
        </row>
        <row r="180">
          <cell r="K180">
            <v>1</v>
          </cell>
        </row>
        <row r="181">
          <cell r="K181">
            <v>0.7</v>
          </cell>
        </row>
        <row r="186">
          <cell r="K186">
            <v>1</v>
          </cell>
        </row>
        <row r="187">
          <cell r="K187">
            <v>1</v>
          </cell>
        </row>
        <row r="188">
          <cell r="K188">
            <v>1</v>
          </cell>
        </row>
        <row r="189">
          <cell r="K189">
            <v>0.9</v>
          </cell>
        </row>
        <row r="190">
          <cell r="K190">
            <v>0.9</v>
          </cell>
        </row>
        <row r="191">
          <cell r="K191">
            <v>1</v>
          </cell>
        </row>
        <row r="192">
          <cell r="K192">
            <v>1</v>
          </cell>
        </row>
        <row r="193">
          <cell r="K193">
            <v>0.1</v>
          </cell>
        </row>
        <row r="194">
          <cell r="K194">
            <v>0.1</v>
          </cell>
        </row>
        <row r="195">
          <cell r="K195">
            <v>0.1</v>
          </cell>
        </row>
        <row r="196">
          <cell r="K196">
            <v>0.1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203"/>
  <sheetViews>
    <sheetView tabSelected="1" zoomScale="110" zoomScaleNormal="110" workbookViewId="0">
      <selection activeCell="D3" sqref="D3:D5"/>
    </sheetView>
  </sheetViews>
  <sheetFormatPr defaultRowHeight="15"/>
  <cols>
    <col min="1" max="1" width="15.5703125" customWidth="1"/>
    <col min="2" max="2" width="19.140625" customWidth="1"/>
    <col min="3" max="3" width="29" customWidth="1"/>
    <col min="4" max="4" width="35.5703125" customWidth="1"/>
    <col min="6" max="6" width="12.85546875" customWidth="1"/>
    <col min="11" max="11" width="6.85546875" hidden="1" customWidth="1"/>
    <col min="13" max="15" width="0" hidden="1" customWidth="1"/>
    <col min="16" max="16" width="1.5703125" hidden="1" customWidth="1"/>
  </cols>
  <sheetData>
    <row r="2" spans="1:58">
      <c r="A2" s="135" t="s">
        <v>337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</row>
    <row r="3" spans="1:58">
      <c r="A3" s="136" t="s">
        <v>0</v>
      </c>
      <c r="B3" s="137" t="s">
        <v>1</v>
      </c>
      <c r="C3" s="137" t="s">
        <v>2</v>
      </c>
      <c r="D3" s="137" t="s">
        <v>3</v>
      </c>
      <c r="E3" s="137" t="s">
        <v>4</v>
      </c>
      <c r="F3" s="137" t="s">
        <v>5</v>
      </c>
      <c r="G3" s="137" t="s">
        <v>6</v>
      </c>
      <c r="H3" s="138" t="s">
        <v>7</v>
      </c>
      <c r="I3" s="139" t="s">
        <v>8</v>
      </c>
      <c r="J3" s="139"/>
      <c r="K3" s="139"/>
      <c r="L3" s="139"/>
      <c r="M3" s="139"/>
      <c r="N3" s="139"/>
      <c r="O3" s="139"/>
      <c r="P3" s="139"/>
    </row>
    <row r="4" spans="1:58">
      <c r="A4" s="136"/>
      <c r="B4" s="137"/>
      <c r="C4" s="137"/>
      <c r="D4" s="137"/>
      <c r="E4" s="137"/>
      <c r="F4" s="137"/>
      <c r="G4" s="137"/>
      <c r="H4" s="138"/>
      <c r="I4" s="113"/>
      <c r="J4" s="113"/>
      <c r="K4" s="114"/>
      <c r="L4" s="114"/>
      <c r="M4" s="114"/>
      <c r="N4" s="114"/>
      <c r="O4" s="114"/>
      <c r="P4" s="114"/>
      <c r="Q4" s="155" t="s">
        <v>317</v>
      </c>
      <c r="R4" s="155"/>
      <c r="S4" s="155"/>
      <c r="T4" s="155"/>
      <c r="U4" s="155"/>
      <c r="V4" s="155"/>
      <c r="W4" s="140" t="s">
        <v>318</v>
      </c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2"/>
      <c r="AI4" s="140" t="s">
        <v>319</v>
      </c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2"/>
      <c r="AU4" s="140" t="s">
        <v>336</v>
      </c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2"/>
    </row>
    <row r="5" spans="1:58" ht="55.5" customHeight="1">
      <c r="A5" s="126"/>
      <c r="B5" s="126"/>
      <c r="C5" s="126"/>
      <c r="D5" s="126"/>
      <c r="E5" s="126"/>
      <c r="F5" s="126"/>
      <c r="G5" s="126"/>
      <c r="H5" s="126"/>
      <c r="I5" s="2" t="s">
        <v>9</v>
      </c>
      <c r="J5" s="3" t="s">
        <v>10</v>
      </c>
      <c r="K5" s="4" t="s">
        <v>11</v>
      </c>
      <c r="L5" s="5" t="s">
        <v>12</v>
      </c>
      <c r="M5" s="5" t="s">
        <v>13</v>
      </c>
      <c r="N5" s="6" t="s">
        <v>14</v>
      </c>
      <c r="O5" s="7" t="s">
        <v>15</v>
      </c>
      <c r="P5" s="8" t="s">
        <v>16</v>
      </c>
      <c r="Q5" s="123" t="s">
        <v>320</v>
      </c>
      <c r="R5" s="119" t="s">
        <v>321</v>
      </c>
      <c r="S5" s="143" t="s">
        <v>322</v>
      </c>
      <c r="T5" s="144"/>
      <c r="U5" s="144"/>
      <c r="V5" s="145"/>
      <c r="W5" s="149" t="s">
        <v>335</v>
      </c>
      <c r="X5" s="150"/>
      <c r="Y5" s="150"/>
      <c r="Z5" s="151"/>
      <c r="AA5" s="149" t="s">
        <v>323</v>
      </c>
      <c r="AB5" s="150"/>
      <c r="AC5" s="150"/>
      <c r="AD5" s="151"/>
      <c r="AE5" s="149" t="s">
        <v>324</v>
      </c>
      <c r="AF5" s="150"/>
      <c r="AG5" s="150"/>
      <c r="AH5" s="151"/>
      <c r="AI5" s="152" t="s">
        <v>325</v>
      </c>
      <c r="AJ5" s="153"/>
      <c r="AK5" s="153"/>
      <c r="AL5" s="154"/>
      <c r="AM5" s="152" t="s">
        <v>326</v>
      </c>
      <c r="AN5" s="153"/>
      <c r="AO5" s="153"/>
      <c r="AP5" s="154"/>
      <c r="AQ5" s="152" t="s">
        <v>327</v>
      </c>
      <c r="AR5" s="153"/>
      <c r="AS5" s="153"/>
      <c r="AT5" s="154"/>
      <c r="AU5" s="146" t="s">
        <v>334</v>
      </c>
      <c r="AV5" s="147"/>
      <c r="AW5" s="147"/>
      <c r="AX5" s="147"/>
      <c r="AY5" s="146" t="s">
        <v>328</v>
      </c>
      <c r="AZ5" s="147"/>
      <c r="BA5" s="147"/>
      <c r="BB5" s="148"/>
      <c r="BC5" s="146" t="s">
        <v>329</v>
      </c>
      <c r="BD5" s="147"/>
      <c r="BE5" s="147"/>
      <c r="BF5" s="148"/>
    </row>
    <row r="6" spans="1:58" ht="55.5" customHeight="1">
      <c r="A6" s="18"/>
      <c r="B6" s="18"/>
      <c r="C6" s="18"/>
      <c r="D6" s="1"/>
      <c r="E6" s="1"/>
      <c r="F6" s="1"/>
      <c r="G6" s="1"/>
      <c r="H6" s="1"/>
      <c r="I6" s="2"/>
      <c r="J6" s="3"/>
      <c r="K6" s="4"/>
      <c r="L6" s="5"/>
      <c r="M6" s="5"/>
      <c r="N6" s="6"/>
      <c r="O6" s="7"/>
      <c r="P6" s="8"/>
      <c r="Q6" s="123"/>
      <c r="R6" s="119"/>
      <c r="S6" s="119" t="s">
        <v>330</v>
      </c>
      <c r="T6" s="119" t="s">
        <v>331</v>
      </c>
      <c r="U6" s="119" t="s">
        <v>332</v>
      </c>
      <c r="V6" s="119" t="s">
        <v>333</v>
      </c>
      <c r="W6" s="116" t="s">
        <v>330</v>
      </c>
      <c r="X6" s="116" t="s">
        <v>331</v>
      </c>
      <c r="Y6" s="116" t="s">
        <v>332</v>
      </c>
      <c r="Z6" s="116" t="s">
        <v>333</v>
      </c>
      <c r="AA6" s="116" t="s">
        <v>330</v>
      </c>
      <c r="AB6" s="116" t="s">
        <v>331</v>
      </c>
      <c r="AC6" s="116" t="s">
        <v>332</v>
      </c>
      <c r="AD6" s="116" t="s">
        <v>333</v>
      </c>
      <c r="AE6" s="116" t="s">
        <v>330</v>
      </c>
      <c r="AF6" s="116" t="s">
        <v>331</v>
      </c>
      <c r="AG6" s="116" t="s">
        <v>332</v>
      </c>
      <c r="AH6" s="116" t="s">
        <v>333</v>
      </c>
      <c r="AI6" s="122" t="s">
        <v>330</v>
      </c>
      <c r="AJ6" s="122" t="s">
        <v>331</v>
      </c>
      <c r="AK6" s="122" t="s">
        <v>332</v>
      </c>
      <c r="AL6" s="122" t="s">
        <v>333</v>
      </c>
      <c r="AM6" s="122" t="s">
        <v>330</v>
      </c>
      <c r="AN6" s="122" t="s">
        <v>331</v>
      </c>
      <c r="AO6" s="122" t="s">
        <v>332</v>
      </c>
      <c r="AP6" s="122" t="s">
        <v>333</v>
      </c>
      <c r="AQ6" s="122" t="s">
        <v>330</v>
      </c>
      <c r="AR6" s="122" t="s">
        <v>331</v>
      </c>
      <c r="AS6" s="122" t="s">
        <v>332</v>
      </c>
      <c r="AT6" s="122" t="s">
        <v>333</v>
      </c>
      <c r="AU6" s="115" t="s">
        <v>330</v>
      </c>
      <c r="AV6" s="115" t="s">
        <v>331</v>
      </c>
      <c r="AW6" s="115" t="s">
        <v>332</v>
      </c>
      <c r="AX6" s="115" t="s">
        <v>333</v>
      </c>
      <c r="AY6" s="115" t="s">
        <v>330</v>
      </c>
      <c r="AZ6" s="115" t="s">
        <v>331</v>
      </c>
      <c r="BA6" s="115" t="s">
        <v>332</v>
      </c>
      <c r="BB6" s="115" t="s">
        <v>333</v>
      </c>
      <c r="BC6" s="115" t="s">
        <v>330</v>
      </c>
      <c r="BD6" s="115" t="s">
        <v>331</v>
      </c>
      <c r="BE6" s="115" t="s">
        <v>332</v>
      </c>
      <c r="BF6" s="115" t="s">
        <v>333</v>
      </c>
    </row>
    <row r="7" spans="1:58" ht="25.5">
      <c r="A7" s="127" t="s">
        <v>17</v>
      </c>
      <c r="B7" s="133" t="s">
        <v>18</v>
      </c>
      <c r="C7" s="9" t="s">
        <v>19</v>
      </c>
      <c r="D7" s="10" t="s">
        <v>20</v>
      </c>
      <c r="E7" s="11">
        <v>1</v>
      </c>
      <c r="F7" s="12">
        <v>5</v>
      </c>
      <c r="G7" s="13">
        <v>31</v>
      </c>
      <c r="H7" s="14">
        <f>'[1]2014-Unv-Plan-Cascaded'!K5</f>
        <v>0.15</v>
      </c>
      <c r="I7" s="14">
        <v>0.03</v>
      </c>
      <c r="J7" s="15">
        <v>0.04</v>
      </c>
      <c r="K7" s="16">
        <v>8.0000000000000002E-3</v>
      </c>
      <c r="L7" s="16">
        <v>8.0000000000000002E-3</v>
      </c>
      <c r="M7" s="16">
        <v>8.0000000000000002E-3</v>
      </c>
      <c r="N7" s="16">
        <v>8.0000000000000002E-3</v>
      </c>
      <c r="O7" s="16">
        <v>8.0000000000000002E-3</v>
      </c>
      <c r="P7" s="17"/>
      <c r="Q7" s="117"/>
      <c r="R7" s="117"/>
      <c r="S7" s="117">
        <v>0.125</v>
      </c>
      <c r="T7" s="117">
        <v>0.125</v>
      </c>
      <c r="U7" s="117">
        <v>0.125</v>
      </c>
      <c r="V7" s="117">
        <v>0.125</v>
      </c>
      <c r="W7" s="117"/>
      <c r="X7" s="117"/>
      <c r="Y7" s="117"/>
      <c r="Z7" s="118"/>
      <c r="AA7" s="118"/>
      <c r="AB7" s="118"/>
      <c r="AC7" s="118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>
        <v>4.1000000000000002E-2</v>
      </c>
      <c r="AV7" s="117">
        <v>4.1000000000000002E-2</v>
      </c>
      <c r="AW7" s="117">
        <v>4.1000000000000002E-2</v>
      </c>
      <c r="AX7" s="117">
        <v>4.1000000000000002E-2</v>
      </c>
      <c r="AY7" s="117">
        <v>4.1000000000000002E-2</v>
      </c>
      <c r="AZ7" s="117">
        <v>4.1000000000000002E-2</v>
      </c>
      <c r="BA7" s="117">
        <v>4.1000000000000002E-2</v>
      </c>
      <c r="BB7" s="117">
        <v>4.1000000000000002E-2</v>
      </c>
      <c r="BC7" s="117">
        <v>4.1000000000000002E-2</v>
      </c>
      <c r="BD7" s="117">
        <v>4.1000000000000002E-2</v>
      </c>
      <c r="BE7" s="117">
        <v>4.1000000000000002E-2</v>
      </c>
      <c r="BF7" s="117">
        <v>4.1000000000000002E-2</v>
      </c>
    </row>
    <row r="8" spans="1:58" ht="25.5">
      <c r="A8" s="125"/>
      <c r="B8" s="126"/>
      <c r="C8" s="9" t="s">
        <v>21</v>
      </c>
      <c r="D8" s="10" t="s">
        <v>22</v>
      </c>
      <c r="E8" s="11">
        <v>1</v>
      </c>
      <c r="F8" s="12">
        <v>18</v>
      </c>
      <c r="G8" s="13">
        <v>0</v>
      </c>
      <c r="H8" s="14">
        <f>'[1]2014-Unv-Plan-Cascaded'!K6</f>
        <v>0.15</v>
      </c>
      <c r="I8" s="14">
        <v>0.03</v>
      </c>
      <c r="J8" s="15">
        <v>0.04</v>
      </c>
      <c r="K8" s="16">
        <v>8.0000000000000002E-3</v>
      </c>
      <c r="L8" s="16">
        <v>8.0000000000000002E-3</v>
      </c>
      <c r="M8" s="16">
        <v>8.0000000000000002E-3</v>
      </c>
      <c r="N8" s="16">
        <v>8.0000000000000002E-3</v>
      </c>
      <c r="O8" s="16">
        <v>8.0000000000000002E-3</v>
      </c>
      <c r="P8" s="17"/>
      <c r="Q8" s="118"/>
      <c r="R8" s="118"/>
      <c r="S8" s="117">
        <v>0.125</v>
      </c>
      <c r="T8" s="117">
        <v>0.125</v>
      </c>
      <c r="U8" s="117">
        <v>0.125</v>
      </c>
      <c r="V8" s="117">
        <v>0.125</v>
      </c>
      <c r="W8" s="117"/>
      <c r="X8" s="117"/>
      <c r="Y8" s="117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7">
        <v>0.125</v>
      </c>
      <c r="AV8" s="117">
        <v>0.125</v>
      </c>
      <c r="AW8" s="117">
        <v>0.125</v>
      </c>
      <c r="AX8" s="117">
        <v>0.125</v>
      </c>
      <c r="AY8" s="117"/>
      <c r="AZ8" s="117"/>
      <c r="BA8" s="117"/>
      <c r="BB8" s="118"/>
      <c r="BC8" s="118"/>
      <c r="BD8" s="118"/>
      <c r="BE8" s="118"/>
      <c r="BF8" s="118"/>
    </row>
    <row r="9" spans="1:58">
      <c r="A9" s="125"/>
      <c r="B9" s="124" t="s">
        <v>23</v>
      </c>
      <c r="C9" s="134" t="s">
        <v>24</v>
      </c>
      <c r="D9" s="19" t="s">
        <v>25</v>
      </c>
      <c r="E9" s="11">
        <v>6</v>
      </c>
      <c r="F9" s="12">
        <v>0</v>
      </c>
      <c r="G9" s="13">
        <v>75</v>
      </c>
      <c r="H9" s="14">
        <f>'[1]2014-Unv-Plan-Cascaded'!K7</f>
        <v>0.15</v>
      </c>
      <c r="I9" s="14">
        <v>0.03</v>
      </c>
      <c r="J9" s="15">
        <v>0.04</v>
      </c>
      <c r="K9" s="20">
        <v>0.01</v>
      </c>
      <c r="L9" s="21">
        <v>0.02</v>
      </c>
      <c r="M9" s="21">
        <v>0.01</v>
      </c>
      <c r="N9" s="22">
        <v>0</v>
      </c>
      <c r="O9" s="22">
        <v>0</v>
      </c>
      <c r="P9" s="17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</row>
    <row r="10" spans="1:58">
      <c r="A10" s="125"/>
      <c r="B10" s="125"/>
      <c r="C10" s="125"/>
      <c r="D10" s="19" t="s">
        <v>26</v>
      </c>
      <c r="E10" s="11">
        <v>3</v>
      </c>
      <c r="F10" s="12">
        <v>0</v>
      </c>
      <c r="G10" s="13">
        <v>75</v>
      </c>
      <c r="H10" s="14">
        <f>'[1]2014-Unv-Plan-Cascaded'!K8</f>
        <v>0</v>
      </c>
      <c r="I10" s="14">
        <v>0.03</v>
      </c>
      <c r="J10" s="15">
        <v>0.04</v>
      </c>
      <c r="K10" s="16">
        <v>6.0000000000000001E-3</v>
      </c>
      <c r="L10" s="16">
        <v>6.0000000000000001E-3</v>
      </c>
      <c r="M10" s="16">
        <v>6.0000000000000001E-3</v>
      </c>
      <c r="N10" s="16">
        <v>6.0000000000000001E-3</v>
      </c>
      <c r="O10" s="16">
        <v>6.0000000000000001E-3</v>
      </c>
      <c r="P10" s="23">
        <v>0.01</v>
      </c>
      <c r="Q10" s="118"/>
      <c r="R10" s="118"/>
      <c r="S10" s="118">
        <v>1.8699999999999999E-3</v>
      </c>
      <c r="T10" s="118">
        <v>1.8699999999999999E-3</v>
      </c>
      <c r="U10" s="118">
        <v>1.8699999999999999E-3</v>
      </c>
      <c r="V10" s="118">
        <v>1.8699999999999999E-3</v>
      </c>
      <c r="W10" s="120">
        <v>6.2E-4</v>
      </c>
      <c r="X10" s="120">
        <v>6.2E-4</v>
      </c>
      <c r="Y10" s="120">
        <v>6.2E-4</v>
      </c>
      <c r="Z10" s="120">
        <v>6.2E-4</v>
      </c>
      <c r="AA10" s="120">
        <v>6.2E-4</v>
      </c>
      <c r="AB10" s="120">
        <v>6.2E-4</v>
      </c>
      <c r="AC10" s="120">
        <v>6.2E-4</v>
      </c>
      <c r="AD10" s="120">
        <v>6.2E-4</v>
      </c>
      <c r="AE10" s="120">
        <v>6.2E-4</v>
      </c>
      <c r="AF10" s="120">
        <v>6.2E-4</v>
      </c>
      <c r="AG10" s="120">
        <v>6.2E-4</v>
      </c>
      <c r="AH10" s="120">
        <v>6.2E-4</v>
      </c>
      <c r="AI10" s="120">
        <v>6.2E-4</v>
      </c>
      <c r="AJ10" s="120">
        <v>6.2E-4</v>
      </c>
      <c r="AK10" s="120">
        <v>6.2E-4</v>
      </c>
      <c r="AL10" s="120">
        <v>6.2E-4</v>
      </c>
      <c r="AM10" s="120">
        <v>6.2E-4</v>
      </c>
      <c r="AN10" s="120">
        <v>6.2E-4</v>
      </c>
      <c r="AO10" s="120">
        <v>6.2E-4</v>
      </c>
      <c r="AP10" s="120">
        <v>6.2E-4</v>
      </c>
      <c r="AQ10" s="120">
        <v>6.2E-4</v>
      </c>
      <c r="AR10" s="120">
        <v>6.2E-4</v>
      </c>
      <c r="AS10" s="120">
        <v>6.2E-4</v>
      </c>
      <c r="AT10" s="120">
        <v>6.2E-4</v>
      </c>
      <c r="AU10" s="120">
        <v>6.2E-4</v>
      </c>
      <c r="AV10" s="120">
        <v>6.2E-4</v>
      </c>
      <c r="AW10" s="120">
        <v>6.2E-4</v>
      </c>
      <c r="AX10" s="120">
        <v>6.2E-4</v>
      </c>
      <c r="AY10" s="120">
        <v>6.2E-4</v>
      </c>
      <c r="AZ10" s="120">
        <v>6.2E-4</v>
      </c>
      <c r="BA10" s="120">
        <v>6.2E-4</v>
      </c>
      <c r="BB10" s="120">
        <v>6.2E-4</v>
      </c>
      <c r="BC10" s="120">
        <v>6.2E-4</v>
      </c>
      <c r="BD10" s="120">
        <v>6.2E-4</v>
      </c>
      <c r="BE10" s="120">
        <v>6.2E-4</v>
      </c>
      <c r="BF10" s="120">
        <v>6.2E-4</v>
      </c>
    </row>
    <row r="11" spans="1:58">
      <c r="A11" s="125"/>
      <c r="B11" s="125"/>
      <c r="C11" s="134" t="s">
        <v>27</v>
      </c>
      <c r="D11" s="19" t="s">
        <v>28</v>
      </c>
      <c r="E11" s="11">
        <v>2</v>
      </c>
      <c r="F11" s="12">
        <v>0</v>
      </c>
      <c r="G11" s="13">
        <v>75</v>
      </c>
      <c r="H11" s="14">
        <f>'[1]2014-Unv-Plan-Cascaded'!K9</f>
        <v>0.1</v>
      </c>
      <c r="I11" s="14">
        <v>0</v>
      </c>
      <c r="J11" s="24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17"/>
      <c r="Q11" s="117"/>
      <c r="R11" s="117"/>
      <c r="S11" s="117">
        <v>0.125</v>
      </c>
      <c r="T11" s="117">
        <v>0.125</v>
      </c>
      <c r="U11" s="117">
        <v>0.125</v>
      </c>
      <c r="V11" s="117">
        <v>0.125</v>
      </c>
      <c r="W11" s="120">
        <v>4.0999999999999999E-4</v>
      </c>
      <c r="X11" s="120">
        <v>4.0999999999999999E-4</v>
      </c>
      <c r="Y11" s="120">
        <v>4.0999999999999999E-4</v>
      </c>
      <c r="Z11" s="120">
        <v>4.0999999999999999E-4</v>
      </c>
      <c r="AA11" s="120">
        <v>4.0999999999999999E-4</v>
      </c>
      <c r="AB11" s="120">
        <v>4.0999999999999999E-4</v>
      </c>
      <c r="AC11" s="120">
        <v>4.0999999999999999E-4</v>
      </c>
      <c r="AD11" s="120">
        <v>4.0999999999999999E-4</v>
      </c>
      <c r="AE11" s="120">
        <v>4.0999999999999999E-4</v>
      </c>
      <c r="AF11" s="120">
        <v>4.0999999999999999E-4</v>
      </c>
      <c r="AG11" s="120">
        <v>4.0999999999999999E-4</v>
      </c>
      <c r="AH11" s="120">
        <v>4.0999999999999999E-4</v>
      </c>
      <c r="AI11" s="120">
        <v>4.0999999999999999E-4</v>
      </c>
      <c r="AJ11" s="120">
        <v>4.0999999999999999E-4</v>
      </c>
      <c r="AK11" s="120">
        <v>4.0999999999999999E-4</v>
      </c>
      <c r="AL11" s="120">
        <v>4.0999999999999999E-4</v>
      </c>
      <c r="AM11" s="120">
        <v>4.0999999999999999E-4</v>
      </c>
      <c r="AN11" s="120">
        <v>4.0999999999999999E-4</v>
      </c>
      <c r="AO11" s="120">
        <v>4.0999999999999999E-4</v>
      </c>
      <c r="AP11" s="120">
        <v>4.0999999999999999E-4</v>
      </c>
      <c r="AQ11" s="120">
        <v>4.0999999999999999E-4</v>
      </c>
      <c r="AR11" s="120">
        <v>4.0999999999999999E-4</v>
      </c>
      <c r="AS11" s="120">
        <v>4.0999999999999999E-4</v>
      </c>
      <c r="AT11" s="120">
        <v>4.0999999999999999E-4</v>
      </c>
      <c r="AU11" s="120">
        <v>4.0999999999999999E-4</v>
      </c>
      <c r="AV11" s="120">
        <v>4.0999999999999999E-4</v>
      </c>
      <c r="AW11" s="120">
        <v>4.0999999999999999E-4</v>
      </c>
      <c r="AX11" s="120">
        <v>4.0999999999999999E-4</v>
      </c>
      <c r="AY11" s="120">
        <v>4.0999999999999999E-4</v>
      </c>
      <c r="AZ11" s="120">
        <v>4.0999999999999999E-4</v>
      </c>
      <c r="BA11" s="120">
        <v>4.0999999999999999E-4</v>
      </c>
      <c r="BB11" s="120">
        <v>4.0999999999999999E-4</v>
      </c>
      <c r="BC11" s="120">
        <v>4.0999999999999999E-4</v>
      </c>
      <c r="BD11" s="120">
        <v>4.0999999999999999E-4</v>
      </c>
      <c r="BE11" s="120">
        <v>4.0999999999999999E-4</v>
      </c>
      <c r="BF11" s="120">
        <v>4.0999999999999999E-4</v>
      </c>
    </row>
    <row r="12" spans="1:58">
      <c r="A12" s="125"/>
      <c r="B12" s="125"/>
      <c r="C12" s="125"/>
      <c r="D12" s="19" t="s">
        <v>29</v>
      </c>
      <c r="E12" s="11">
        <v>2</v>
      </c>
      <c r="F12" s="26">
        <v>0.87</v>
      </c>
      <c r="G12" s="13">
        <v>75</v>
      </c>
      <c r="H12" s="14">
        <f>'[1]2014-Unv-Plan-Cascaded'!K10</f>
        <v>0.24</v>
      </c>
      <c r="I12" s="14">
        <v>0.02</v>
      </c>
      <c r="J12" s="15">
        <v>0.03</v>
      </c>
      <c r="K12" s="16">
        <v>6.0000000000000001E-3</v>
      </c>
      <c r="L12" s="16">
        <v>6.0000000000000001E-3</v>
      </c>
      <c r="M12" s="16">
        <v>6.0000000000000001E-3</v>
      </c>
      <c r="N12" s="16">
        <v>6.0000000000000001E-3</v>
      </c>
      <c r="O12" s="16">
        <v>6.0000000000000001E-3</v>
      </c>
      <c r="P12" s="17"/>
      <c r="Q12" s="117"/>
      <c r="R12" s="117"/>
      <c r="S12" s="117">
        <v>0.125</v>
      </c>
      <c r="T12" s="117">
        <v>0.125</v>
      </c>
      <c r="U12" s="117">
        <v>0.125</v>
      </c>
      <c r="V12" s="117">
        <v>0.125</v>
      </c>
      <c r="W12" s="120">
        <v>4.0999999999999999E-4</v>
      </c>
      <c r="X12" s="120">
        <v>4.0999999999999999E-4</v>
      </c>
      <c r="Y12" s="120">
        <v>4.0999999999999999E-4</v>
      </c>
      <c r="Z12" s="120">
        <v>4.0999999999999999E-4</v>
      </c>
      <c r="AA12" s="120">
        <v>4.0999999999999999E-4</v>
      </c>
      <c r="AB12" s="120">
        <v>4.0999999999999999E-4</v>
      </c>
      <c r="AC12" s="120">
        <v>4.0999999999999999E-4</v>
      </c>
      <c r="AD12" s="120">
        <v>4.0999999999999999E-4</v>
      </c>
      <c r="AE12" s="120">
        <v>4.0999999999999999E-4</v>
      </c>
      <c r="AF12" s="120">
        <v>4.0999999999999999E-4</v>
      </c>
      <c r="AG12" s="120">
        <v>4.0999999999999999E-4</v>
      </c>
      <c r="AH12" s="120">
        <v>4.0999999999999999E-4</v>
      </c>
      <c r="AI12" s="120">
        <v>4.0999999999999999E-4</v>
      </c>
      <c r="AJ12" s="120">
        <v>4.0999999999999999E-4</v>
      </c>
      <c r="AK12" s="120">
        <v>4.0999999999999999E-4</v>
      </c>
      <c r="AL12" s="120">
        <v>4.0999999999999999E-4</v>
      </c>
      <c r="AM12" s="120">
        <v>4.0999999999999999E-4</v>
      </c>
      <c r="AN12" s="120">
        <v>4.0999999999999999E-4</v>
      </c>
      <c r="AO12" s="120">
        <v>4.0999999999999999E-4</v>
      </c>
      <c r="AP12" s="120">
        <v>4.0999999999999999E-4</v>
      </c>
      <c r="AQ12" s="120">
        <v>4.0999999999999999E-4</v>
      </c>
      <c r="AR12" s="120">
        <v>4.0999999999999999E-4</v>
      </c>
      <c r="AS12" s="120">
        <v>4.0999999999999999E-4</v>
      </c>
      <c r="AT12" s="120">
        <v>4.0999999999999999E-4</v>
      </c>
      <c r="AU12" s="120">
        <v>4.0999999999999999E-4</v>
      </c>
      <c r="AV12" s="120">
        <v>4.0999999999999999E-4</v>
      </c>
      <c r="AW12" s="120">
        <v>4.0999999999999999E-4</v>
      </c>
      <c r="AX12" s="120">
        <v>4.0999999999999999E-4</v>
      </c>
      <c r="AY12" s="120">
        <v>4.0999999999999999E-4</v>
      </c>
      <c r="AZ12" s="120">
        <v>4.0999999999999999E-4</v>
      </c>
      <c r="BA12" s="120">
        <v>4.0999999999999999E-4</v>
      </c>
      <c r="BB12" s="120">
        <v>4.0999999999999999E-4</v>
      </c>
      <c r="BC12" s="120">
        <v>4.0999999999999999E-4</v>
      </c>
      <c r="BD12" s="120">
        <v>4.0999999999999999E-4</v>
      </c>
      <c r="BE12" s="120">
        <v>4.0999999999999999E-4</v>
      </c>
      <c r="BF12" s="120">
        <v>4.0999999999999999E-4</v>
      </c>
    </row>
    <row r="13" spans="1:58">
      <c r="A13" s="125"/>
      <c r="B13" s="126"/>
      <c r="C13" s="126"/>
      <c r="D13" s="19" t="s">
        <v>30</v>
      </c>
      <c r="E13" s="11">
        <v>2</v>
      </c>
      <c r="F13" s="12">
        <v>0</v>
      </c>
      <c r="G13" s="13">
        <v>75</v>
      </c>
      <c r="H13" s="14">
        <f>'[1]2014-Unv-Plan-Cascaded'!K11</f>
        <v>0.1</v>
      </c>
      <c r="I13" s="14">
        <v>0.02</v>
      </c>
      <c r="J13" s="15">
        <v>0.08</v>
      </c>
      <c r="K13" s="16">
        <v>0.02</v>
      </c>
      <c r="L13" s="21">
        <v>0.02</v>
      </c>
      <c r="M13" s="21">
        <v>1.4999999999999999E-2</v>
      </c>
      <c r="N13" s="16">
        <v>5.0000000000000001E-3</v>
      </c>
      <c r="O13" s="16">
        <v>0.02</v>
      </c>
      <c r="P13" s="17"/>
      <c r="Q13" s="117"/>
      <c r="R13" s="117"/>
      <c r="S13" s="117">
        <v>0.125</v>
      </c>
      <c r="T13" s="117">
        <v>0.125</v>
      </c>
      <c r="U13" s="117">
        <v>0.125</v>
      </c>
      <c r="V13" s="117">
        <v>0.125</v>
      </c>
      <c r="W13" s="120">
        <v>4.0999999999999999E-4</v>
      </c>
      <c r="X13" s="120">
        <v>4.0999999999999999E-4</v>
      </c>
      <c r="Y13" s="120">
        <v>4.0999999999999999E-4</v>
      </c>
      <c r="Z13" s="120">
        <v>4.0999999999999999E-4</v>
      </c>
      <c r="AA13" s="120">
        <v>4.0999999999999999E-4</v>
      </c>
      <c r="AB13" s="120">
        <v>4.0999999999999999E-4</v>
      </c>
      <c r="AC13" s="120">
        <v>4.0999999999999999E-4</v>
      </c>
      <c r="AD13" s="120">
        <v>4.0999999999999999E-4</v>
      </c>
      <c r="AE13" s="120">
        <v>4.0999999999999999E-4</v>
      </c>
      <c r="AF13" s="120">
        <v>4.0999999999999999E-4</v>
      </c>
      <c r="AG13" s="120">
        <v>4.0999999999999999E-4</v>
      </c>
      <c r="AH13" s="120">
        <v>4.0999999999999999E-4</v>
      </c>
      <c r="AI13" s="120">
        <v>4.0999999999999999E-4</v>
      </c>
      <c r="AJ13" s="120">
        <v>4.0999999999999999E-4</v>
      </c>
      <c r="AK13" s="120">
        <v>4.0999999999999999E-4</v>
      </c>
      <c r="AL13" s="120">
        <v>4.0999999999999999E-4</v>
      </c>
      <c r="AM13" s="120">
        <v>4.0999999999999999E-4</v>
      </c>
      <c r="AN13" s="120">
        <v>4.0999999999999999E-4</v>
      </c>
      <c r="AO13" s="120">
        <v>4.0999999999999999E-4</v>
      </c>
      <c r="AP13" s="120">
        <v>4.0999999999999999E-4</v>
      </c>
      <c r="AQ13" s="120">
        <v>4.0999999999999999E-4</v>
      </c>
      <c r="AR13" s="120">
        <v>4.0999999999999999E-4</v>
      </c>
      <c r="AS13" s="120">
        <v>4.0999999999999999E-4</v>
      </c>
      <c r="AT13" s="120">
        <v>4.0999999999999999E-4</v>
      </c>
      <c r="AU13" s="120">
        <v>4.0999999999999999E-4</v>
      </c>
      <c r="AV13" s="120">
        <v>4.0999999999999999E-4</v>
      </c>
      <c r="AW13" s="120">
        <v>4.0999999999999999E-4</v>
      </c>
      <c r="AX13" s="120">
        <v>4.0999999999999999E-4</v>
      </c>
      <c r="AY13" s="120">
        <v>4.0999999999999999E-4</v>
      </c>
      <c r="AZ13" s="120">
        <v>4.0999999999999999E-4</v>
      </c>
      <c r="BA13" s="120">
        <v>4.0999999999999999E-4</v>
      </c>
      <c r="BB13" s="120">
        <v>4.0999999999999999E-4</v>
      </c>
      <c r="BC13" s="120">
        <v>4.0999999999999999E-4</v>
      </c>
      <c r="BD13" s="120">
        <v>4.0999999999999999E-4</v>
      </c>
      <c r="BE13" s="120">
        <v>4.0999999999999999E-4</v>
      </c>
      <c r="BF13" s="120">
        <v>4.0999999999999999E-4</v>
      </c>
    </row>
    <row r="14" spans="1:58" ht="25.5">
      <c r="A14" s="125"/>
      <c r="B14" s="127" t="s">
        <v>31</v>
      </c>
      <c r="C14" s="27" t="s">
        <v>32</v>
      </c>
      <c r="D14" s="28" t="s">
        <v>33</v>
      </c>
      <c r="E14" s="11">
        <v>1</v>
      </c>
      <c r="F14" s="12">
        <v>0</v>
      </c>
      <c r="G14" s="13">
        <v>4</v>
      </c>
      <c r="H14" s="14">
        <f>'[1]2014-Unv-Plan-Cascaded'!K12</f>
        <v>0</v>
      </c>
      <c r="I14" s="14">
        <v>0.08</v>
      </c>
      <c r="J14" s="15">
        <v>0</v>
      </c>
      <c r="K14" s="20"/>
      <c r="L14" s="22"/>
      <c r="M14" s="22"/>
      <c r="N14" s="29"/>
      <c r="O14" s="29"/>
      <c r="P14" s="17"/>
      <c r="Q14" s="117"/>
      <c r="R14" s="117"/>
      <c r="S14" s="117"/>
      <c r="T14" s="117"/>
      <c r="U14" s="121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</row>
    <row r="15" spans="1:58">
      <c r="A15" s="125"/>
      <c r="B15" s="125"/>
      <c r="C15" s="124" t="s">
        <v>34</v>
      </c>
      <c r="D15" s="28" t="s">
        <v>35</v>
      </c>
      <c r="E15" s="11">
        <v>1</v>
      </c>
      <c r="F15" s="12">
        <v>0</v>
      </c>
      <c r="G15" s="13">
        <v>30</v>
      </c>
      <c r="H15" s="14">
        <f>'[1]2014-Unv-Plan-Cascaded'!K13</f>
        <v>0</v>
      </c>
      <c r="I15" s="14"/>
      <c r="J15" s="15">
        <v>0</v>
      </c>
      <c r="K15" s="20"/>
      <c r="L15" s="22"/>
      <c r="M15" s="22"/>
      <c r="N15" s="29"/>
      <c r="O15" s="29"/>
      <c r="P15" s="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</row>
    <row r="16" spans="1:58" ht="25.5">
      <c r="A16" s="126"/>
      <c r="B16" s="126"/>
      <c r="C16" s="126"/>
      <c r="D16" s="27" t="s">
        <v>36</v>
      </c>
      <c r="E16" s="11">
        <v>1</v>
      </c>
      <c r="F16" s="30">
        <v>0</v>
      </c>
      <c r="G16" s="13">
        <v>40</v>
      </c>
      <c r="H16" s="14">
        <f>'[1]2014-Unv-Plan-Cascaded'!K14</f>
        <v>0</v>
      </c>
      <c r="I16" s="14"/>
      <c r="J16" s="15">
        <v>0</v>
      </c>
      <c r="K16" s="20"/>
      <c r="L16" s="22"/>
      <c r="M16" s="22"/>
      <c r="N16" s="29"/>
      <c r="O16" s="29"/>
      <c r="P16" s="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</row>
    <row r="17" spans="1:58" ht="25.5">
      <c r="A17" s="124" t="s">
        <v>37</v>
      </c>
      <c r="B17" s="127" t="s">
        <v>38</v>
      </c>
      <c r="C17" s="31" t="s">
        <v>39</v>
      </c>
      <c r="D17" s="10" t="s">
        <v>40</v>
      </c>
      <c r="E17" s="11">
        <v>0.75</v>
      </c>
      <c r="F17" s="32">
        <v>3751176.26</v>
      </c>
      <c r="G17" s="13" t="s">
        <v>41</v>
      </c>
      <c r="H17" s="14">
        <f>'[1]2014-Unv-Plan-Cascaded'!K15</f>
        <v>0</v>
      </c>
      <c r="I17" s="33"/>
      <c r="J17" s="34">
        <v>0</v>
      </c>
      <c r="K17" s="35"/>
      <c r="L17" s="36"/>
      <c r="M17" s="36"/>
      <c r="N17" s="29"/>
      <c r="O17" s="29"/>
      <c r="P17" s="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</row>
    <row r="18" spans="1:58">
      <c r="A18" s="125"/>
      <c r="B18" s="125"/>
      <c r="C18" s="127" t="s">
        <v>42</v>
      </c>
      <c r="D18" s="10" t="s">
        <v>43</v>
      </c>
      <c r="E18" s="11">
        <v>2</v>
      </c>
      <c r="F18" s="30" t="s">
        <v>44</v>
      </c>
      <c r="G18" s="13" t="s">
        <v>45</v>
      </c>
      <c r="H18" s="14">
        <f>'[1]2014-Unv-Plan-Cascaded'!K16</f>
        <v>0</v>
      </c>
      <c r="I18" s="33"/>
      <c r="J18" s="34">
        <v>0</v>
      </c>
      <c r="K18" s="35"/>
      <c r="L18" s="36"/>
      <c r="M18" s="36"/>
      <c r="N18" s="29"/>
      <c r="O18" s="29"/>
      <c r="P18" s="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</row>
    <row r="19" spans="1:58">
      <c r="A19" s="125"/>
      <c r="B19" s="125"/>
      <c r="C19" s="125"/>
      <c r="D19" s="10" t="s">
        <v>46</v>
      </c>
      <c r="E19" s="11">
        <v>3</v>
      </c>
      <c r="F19" s="30">
        <v>14.7</v>
      </c>
      <c r="G19" s="13" t="s">
        <v>47</v>
      </c>
      <c r="H19" s="14">
        <f>'[1]2014-Unv-Plan-Cascaded'!K17</f>
        <v>0</v>
      </c>
      <c r="I19" s="33"/>
      <c r="J19" s="34">
        <v>0</v>
      </c>
      <c r="K19" s="35"/>
      <c r="L19" s="36"/>
      <c r="M19" s="36"/>
      <c r="N19" s="29"/>
      <c r="O19" s="29"/>
      <c r="P19" s="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</row>
    <row r="20" spans="1:58">
      <c r="A20" s="125"/>
      <c r="B20" s="125"/>
      <c r="C20" s="126"/>
      <c r="D20" s="10" t="s">
        <v>48</v>
      </c>
      <c r="E20" s="11">
        <v>1</v>
      </c>
      <c r="F20" s="13">
        <v>0</v>
      </c>
      <c r="G20" s="13" t="s">
        <v>49</v>
      </c>
      <c r="H20" s="14">
        <f>'[1]2014-Unv-Plan-Cascaded'!K18</f>
        <v>0</v>
      </c>
      <c r="I20" s="33"/>
      <c r="J20" s="34">
        <v>0</v>
      </c>
      <c r="K20" s="35"/>
      <c r="L20" s="36"/>
      <c r="M20" s="36"/>
      <c r="N20" s="29"/>
      <c r="O20" s="29"/>
      <c r="P20" s="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</row>
    <row r="21" spans="1:58">
      <c r="A21" s="125"/>
      <c r="B21" s="125"/>
      <c r="C21" s="127" t="s">
        <v>50</v>
      </c>
      <c r="D21" s="10" t="s">
        <v>51</v>
      </c>
      <c r="E21" s="11">
        <v>1</v>
      </c>
      <c r="F21" s="37">
        <v>38000</v>
      </c>
      <c r="G21" s="13" t="s">
        <v>52</v>
      </c>
      <c r="H21" s="14">
        <f>'[1]2014-Unv-Plan-Cascaded'!K19</f>
        <v>0</v>
      </c>
      <c r="I21" s="33"/>
      <c r="J21" s="34">
        <v>0</v>
      </c>
      <c r="K21" s="35"/>
      <c r="L21" s="36"/>
      <c r="M21" s="36"/>
      <c r="N21" s="29"/>
      <c r="O21" s="29"/>
      <c r="P21" s="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</row>
    <row r="22" spans="1:58" ht="25.5">
      <c r="A22" s="125"/>
      <c r="B22" s="125"/>
      <c r="C22" s="125"/>
      <c r="D22" s="10" t="s">
        <v>53</v>
      </c>
      <c r="E22" s="11">
        <v>1</v>
      </c>
      <c r="F22" s="13">
        <v>0</v>
      </c>
      <c r="G22" s="13" t="s">
        <v>49</v>
      </c>
      <c r="H22" s="14">
        <f>'[1]2014-Unv-Plan-Cascaded'!K20</f>
        <v>0</v>
      </c>
      <c r="I22" s="33"/>
      <c r="J22" s="34">
        <v>0</v>
      </c>
      <c r="K22" s="35"/>
      <c r="L22" s="36"/>
      <c r="M22" s="36"/>
      <c r="N22" s="29"/>
      <c r="O22" s="29"/>
      <c r="P22" s="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</row>
    <row r="23" spans="1:58">
      <c r="A23" s="125"/>
      <c r="B23" s="125"/>
      <c r="C23" s="125"/>
      <c r="D23" s="38" t="s">
        <v>54</v>
      </c>
      <c r="E23" s="11">
        <v>1</v>
      </c>
      <c r="F23" s="13">
        <v>0</v>
      </c>
      <c r="G23" s="39">
        <v>360000</v>
      </c>
      <c r="H23" s="14">
        <f>'[1]2014-Unv-Plan-Cascaded'!K21</f>
        <v>0</v>
      </c>
      <c r="I23" s="33"/>
      <c r="J23" s="34">
        <v>0</v>
      </c>
      <c r="K23" s="35"/>
      <c r="L23" s="36"/>
      <c r="M23" s="36"/>
      <c r="N23" s="29"/>
      <c r="O23" s="29"/>
      <c r="P23" s="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</row>
    <row r="24" spans="1:58">
      <c r="A24" s="125"/>
      <c r="B24" s="126"/>
      <c r="C24" s="126"/>
      <c r="D24" s="10" t="s">
        <v>55</v>
      </c>
      <c r="E24" s="11">
        <v>0.25</v>
      </c>
      <c r="F24" s="39">
        <v>229430</v>
      </c>
      <c r="G24" s="13" t="s">
        <v>56</v>
      </c>
      <c r="H24" s="14">
        <f>'[1]2014-Unv-Plan-Cascaded'!K22</f>
        <v>0.2</v>
      </c>
      <c r="I24" s="33"/>
      <c r="J24" s="34">
        <v>0</v>
      </c>
      <c r="K24" s="35"/>
      <c r="L24" s="36"/>
      <c r="M24" s="36"/>
      <c r="N24" s="29"/>
      <c r="O24" s="29"/>
      <c r="P24" s="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</row>
    <row r="25" spans="1:58">
      <c r="A25" s="125"/>
      <c r="B25" s="124" t="s">
        <v>57</v>
      </c>
      <c r="C25" s="31" t="s">
        <v>58</v>
      </c>
      <c r="D25" s="10" t="s">
        <v>59</v>
      </c>
      <c r="E25" s="11">
        <v>0.5</v>
      </c>
      <c r="F25" s="40">
        <v>-100</v>
      </c>
      <c r="G25" s="14">
        <v>1</v>
      </c>
      <c r="H25" s="14">
        <f>'[1]2014-Unv-Plan-Cascaded'!K23</f>
        <v>0</v>
      </c>
      <c r="I25" s="33">
        <v>0.01</v>
      </c>
      <c r="J25" s="34">
        <v>0.04</v>
      </c>
      <c r="K25" s="41">
        <v>8.0000000000000002E-3</v>
      </c>
      <c r="L25" s="42">
        <v>8.0000000000000002E-3</v>
      </c>
      <c r="M25" s="42">
        <v>8.0000000000000002E-3</v>
      </c>
      <c r="N25" s="43">
        <v>8.0000000000000002E-3</v>
      </c>
      <c r="O25" s="43">
        <v>8.0000000000000002E-3</v>
      </c>
      <c r="P25" s="44"/>
      <c r="Q25" s="118"/>
      <c r="R25" s="118"/>
      <c r="S25" s="118">
        <v>3.1E-4</v>
      </c>
      <c r="T25" s="118">
        <v>3.1E-4</v>
      </c>
      <c r="U25" s="118">
        <v>3.1E-4</v>
      </c>
      <c r="V25" s="118">
        <v>3.1E-4</v>
      </c>
      <c r="W25" s="118">
        <v>1E-4</v>
      </c>
      <c r="X25" s="118">
        <v>1E-4</v>
      </c>
      <c r="Y25" s="118">
        <v>1E-4</v>
      </c>
      <c r="Z25" s="118">
        <v>1E-4</v>
      </c>
      <c r="AA25" s="118">
        <v>1E-4</v>
      </c>
      <c r="AB25" s="118">
        <v>1E-4</v>
      </c>
      <c r="AC25" s="118">
        <v>1E-4</v>
      </c>
      <c r="AD25" s="118">
        <v>1E-4</v>
      </c>
      <c r="AE25" s="118">
        <v>1E-4</v>
      </c>
      <c r="AF25" s="118">
        <v>1E-4</v>
      </c>
      <c r="AG25" s="118">
        <v>1E-4</v>
      </c>
      <c r="AH25" s="118">
        <v>1E-4</v>
      </c>
      <c r="AI25" s="118">
        <v>1E-4</v>
      </c>
      <c r="AJ25" s="118">
        <v>1E-4</v>
      </c>
      <c r="AK25" s="118">
        <v>1E-4</v>
      </c>
      <c r="AL25" s="118">
        <v>1E-4</v>
      </c>
      <c r="AM25" s="118">
        <v>1E-4</v>
      </c>
      <c r="AN25" s="118">
        <v>1E-4</v>
      </c>
      <c r="AO25" s="118">
        <v>1E-4</v>
      </c>
      <c r="AP25" s="118">
        <v>1E-4</v>
      </c>
      <c r="AQ25" s="118">
        <v>1E-4</v>
      </c>
      <c r="AR25" s="118">
        <v>1E-4</v>
      </c>
      <c r="AS25" s="118">
        <v>1E-4</v>
      </c>
      <c r="AT25" s="118">
        <v>1E-4</v>
      </c>
      <c r="AU25" s="118">
        <v>1E-4</v>
      </c>
      <c r="AV25" s="118">
        <v>1E-4</v>
      </c>
      <c r="AW25" s="118">
        <v>1E-4</v>
      </c>
      <c r="AX25" s="118">
        <v>1E-4</v>
      </c>
      <c r="AY25" s="118">
        <v>1E-4</v>
      </c>
      <c r="AZ25" s="118">
        <v>1E-4</v>
      </c>
      <c r="BA25" s="118">
        <v>1E-4</v>
      </c>
      <c r="BB25" s="118">
        <v>1E-4</v>
      </c>
      <c r="BC25" s="118">
        <v>1E-4</v>
      </c>
      <c r="BD25" s="118">
        <v>1E-4</v>
      </c>
      <c r="BE25" s="118">
        <v>1E-4</v>
      </c>
      <c r="BF25" s="118">
        <v>1E-4</v>
      </c>
    </row>
    <row r="26" spans="1:58" ht="25.5">
      <c r="A26" s="125"/>
      <c r="B26" s="125"/>
      <c r="C26" s="31" t="s">
        <v>60</v>
      </c>
      <c r="D26" s="10" t="s">
        <v>61</v>
      </c>
      <c r="E26" s="11">
        <v>1</v>
      </c>
      <c r="F26" s="40">
        <v>-50</v>
      </c>
      <c r="G26" s="14">
        <v>1</v>
      </c>
      <c r="H26" s="14">
        <f>'[1]2014-Unv-Plan-Cascaded'!K24</f>
        <v>0.5</v>
      </c>
      <c r="I26" s="33"/>
      <c r="J26" s="34">
        <v>0</v>
      </c>
      <c r="K26" s="35"/>
      <c r="L26" s="36"/>
      <c r="M26" s="36"/>
      <c r="N26" s="29"/>
      <c r="O26" s="29"/>
      <c r="P26" s="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</row>
    <row r="27" spans="1:58">
      <c r="A27" s="125"/>
      <c r="B27" s="125"/>
      <c r="C27" s="127" t="s">
        <v>62</v>
      </c>
      <c r="D27" s="10" t="s">
        <v>63</v>
      </c>
      <c r="E27" s="11">
        <v>0.5</v>
      </c>
      <c r="F27" s="45">
        <v>0.91</v>
      </c>
      <c r="G27" s="14">
        <v>1</v>
      </c>
      <c r="H27" s="14">
        <f>'[1]2014-Unv-Plan-Cascaded'!K25</f>
        <v>0</v>
      </c>
      <c r="I27" s="33">
        <v>0.01</v>
      </c>
      <c r="J27" s="34">
        <v>1.4999999999999999E-2</v>
      </c>
      <c r="K27" s="41">
        <v>0.01</v>
      </c>
      <c r="L27" s="46">
        <v>2.5000000000000001E-3</v>
      </c>
      <c r="M27" s="46">
        <v>2.5000000000000001E-3</v>
      </c>
      <c r="N27" s="47">
        <v>2.5000000000000001E-3</v>
      </c>
      <c r="O27" s="47">
        <v>2.5000000000000001E-3</v>
      </c>
      <c r="P27" s="17"/>
      <c r="Q27" s="117"/>
      <c r="R27" s="117"/>
      <c r="S27" s="118">
        <v>3.1E-4</v>
      </c>
      <c r="T27" s="118">
        <v>3.1E-4</v>
      </c>
      <c r="U27" s="118">
        <v>3.1E-4</v>
      </c>
      <c r="V27" s="118">
        <v>3.1E-4</v>
      </c>
      <c r="W27" s="118">
        <v>1E-4</v>
      </c>
      <c r="X27" s="118">
        <v>1E-4</v>
      </c>
      <c r="Y27" s="118">
        <v>1E-4</v>
      </c>
      <c r="Z27" s="118">
        <v>1E-4</v>
      </c>
      <c r="AA27" s="118">
        <v>1E-4</v>
      </c>
      <c r="AB27" s="118">
        <v>1E-4</v>
      </c>
      <c r="AC27" s="118">
        <v>1E-4</v>
      </c>
      <c r="AD27" s="118">
        <v>1E-4</v>
      </c>
      <c r="AE27" s="118">
        <v>1E-4</v>
      </c>
      <c r="AF27" s="118">
        <v>1E-4</v>
      </c>
      <c r="AG27" s="118">
        <v>1E-4</v>
      </c>
      <c r="AH27" s="118">
        <v>1E-4</v>
      </c>
      <c r="AI27" s="118">
        <v>1E-4</v>
      </c>
      <c r="AJ27" s="118">
        <v>1E-4</v>
      </c>
      <c r="AK27" s="118">
        <v>1E-4</v>
      </c>
      <c r="AL27" s="118">
        <v>1E-4</v>
      </c>
      <c r="AM27" s="118">
        <v>1E-4</v>
      </c>
      <c r="AN27" s="118">
        <v>1E-4</v>
      </c>
      <c r="AO27" s="118">
        <v>1E-4</v>
      </c>
      <c r="AP27" s="118">
        <v>1E-4</v>
      </c>
      <c r="AQ27" s="118">
        <v>1E-4</v>
      </c>
      <c r="AR27" s="118">
        <v>1E-4</v>
      </c>
      <c r="AS27" s="118">
        <v>1E-4</v>
      </c>
      <c r="AT27" s="118">
        <v>1E-4</v>
      </c>
      <c r="AU27" s="118">
        <v>1E-4</v>
      </c>
      <c r="AV27" s="118">
        <v>1E-4</v>
      </c>
      <c r="AW27" s="118">
        <v>1E-4</v>
      </c>
      <c r="AX27" s="118">
        <v>1E-4</v>
      </c>
      <c r="AY27" s="118">
        <v>1E-4</v>
      </c>
      <c r="AZ27" s="118">
        <v>1E-4</v>
      </c>
      <c r="BA27" s="118">
        <v>1E-4</v>
      </c>
      <c r="BB27" s="118">
        <v>1E-4</v>
      </c>
      <c r="BC27" s="118">
        <v>1E-4</v>
      </c>
      <c r="BD27" s="118">
        <v>1E-4</v>
      </c>
      <c r="BE27" s="118">
        <v>1E-4</v>
      </c>
      <c r="BF27" s="118">
        <v>1E-4</v>
      </c>
    </row>
    <row r="28" spans="1:58">
      <c r="A28" s="125"/>
      <c r="B28" s="125"/>
      <c r="C28" s="125"/>
      <c r="D28" s="10" t="s">
        <v>64</v>
      </c>
      <c r="E28" s="11">
        <v>0.5</v>
      </c>
      <c r="F28" s="40">
        <v>12</v>
      </c>
      <c r="G28" s="13">
        <v>12</v>
      </c>
      <c r="H28" s="14">
        <f>'[1]2014-Unv-Plan-Cascaded'!K26</f>
        <v>0</v>
      </c>
      <c r="I28" s="33"/>
      <c r="J28" s="34">
        <v>0</v>
      </c>
      <c r="K28" s="35"/>
      <c r="L28" s="36"/>
      <c r="M28" s="36"/>
      <c r="N28" s="29"/>
      <c r="O28" s="29"/>
      <c r="P28" s="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</row>
    <row r="29" spans="1:58">
      <c r="A29" s="125"/>
      <c r="B29" s="125"/>
      <c r="C29" s="125"/>
      <c r="D29" s="10" t="s">
        <v>65</v>
      </c>
      <c r="E29" s="11">
        <v>0.5</v>
      </c>
      <c r="F29" s="40">
        <v>4</v>
      </c>
      <c r="G29" s="13">
        <v>4</v>
      </c>
      <c r="H29" s="14">
        <f>'[1]2014-Unv-Plan-Cascaded'!K27</f>
        <v>0.5</v>
      </c>
      <c r="I29" s="33"/>
      <c r="J29" s="34">
        <v>0</v>
      </c>
      <c r="K29" s="35"/>
      <c r="L29" s="36"/>
      <c r="M29" s="36"/>
      <c r="N29" s="29"/>
      <c r="O29" s="29"/>
      <c r="P29" s="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</row>
    <row r="30" spans="1:58">
      <c r="A30" s="125"/>
      <c r="B30" s="125"/>
      <c r="C30" s="126"/>
      <c r="D30" s="10" t="s">
        <v>66</v>
      </c>
      <c r="E30" s="11">
        <v>1</v>
      </c>
      <c r="F30" s="40">
        <v>76</v>
      </c>
      <c r="G30" s="14">
        <v>1</v>
      </c>
      <c r="H30" s="14">
        <f>'[1]2014-Unv-Plan-Cascaded'!K28</f>
        <v>0.06</v>
      </c>
      <c r="I30" s="33">
        <v>0.01</v>
      </c>
      <c r="J30" s="34">
        <v>1.4999999999999999E-2</v>
      </c>
      <c r="K30" s="42">
        <v>4.0000000000000001E-3</v>
      </c>
      <c r="L30" s="42">
        <v>4.0000000000000001E-3</v>
      </c>
      <c r="M30" s="42">
        <v>4.0000000000000001E-3</v>
      </c>
      <c r="N30" s="42">
        <v>4.0000000000000001E-3</v>
      </c>
      <c r="O30" s="42">
        <v>4.0000000000000001E-3</v>
      </c>
      <c r="P30" s="48"/>
      <c r="Q30" s="117"/>
      <c r="R30" s="117"/>
      <c r="S30" s="117">
        <v>0.125</v>
      </c>
      <c r="T30" s="117">
        <v>0.125</v>
      </c>
      <c r="U30" s="117">
        <v>0.125</v>
      </c>
      <c r="V30" s="117">
        <v>0.125</v>
      </c>
      <c r="W30" s="118"/>
      <c r="X30" s="118"/>
      <c r="Y30" s="118"/>
      <c r="Z30" s="117"/>
      <c r="AA30" s="117"/>
      <c r="AB30" s="117"/>
      <c r="AC30" s="117"/>
      <c r="AD30" s="117"/>
      <c r="AE30" s="117"/>
      <c r="AF30" s="117"/>
      <c r="AG30" s="117"/>
      <c r="AH30" s="118"/>
      <c r="AI30" s="118"/>
      <c r="AJ30" s="118"/>
      <c r="AK30" s="118"/>
      <c r="AL30" s="117"/>
      <c r="AM30" s="117"/>
      <c r="AN30" s="117"/>
      <c r="AO30" s="117"/>
      <c r="AP30" s="117"/>
      <c r="AQ30" s="117"/>
      <c r="AR30" s="117"/>
      <c r="AS30" s="117"/>
      <c r="AT30" s="118"/>
      <c r="AU30" s="118">
        <v>4.0999999999999999E-4</v>
      </c>
      <c r="AV30" s="118">
        <v>4.0999999999999999E-4</v>
      </c>
      <c r="AW30" s="118">
        <v>4.0999999999999999E-4</v>
      </c>
      <c r="AX30" s="118">
        <v>4.0999999999999999E-4</v>
      </c>
      <c r="AY30" s="118">
        <v>4.0999999999999999E-4</v>
      </c>
      <c r="AZ30" s="118">
        <v>4.0999999999999999E-4</v>
      </c>
      <c r="BA30" s="118">
        <v>4.0999999999999999E-4</v>
      </c>
      <c r="BB30" s="118">
        <v>4.0999999999999999E-4</v>
      </c>
      <c r="BC30" s="118">
        <v>4.0999999999999999E-4</v>
      </c>
      <c r="BD30" s="118">
        <v>4.0999999999999999E-4</v>
      </c>
      <c r="BE30" s="118">
        <v>4.0999999999999999E-4</v>
      </c>
      <c r="BF30" s="118">
        <v>4.0999999999999999E-4</v>
      </c>
    </row>
    <row r="31" spans="1:58" ht="25.5">
      <c r="A31" s="126"/>
      <c r="B31" s="126"/>
      <c r="C31" s="13" t="s">
        <v>67</v>
      </c>
      <c r="D31" s="10" t="s">
        <v>68</v>
      </c>
      <c r="E31" s="11">
        <v>1</v>
      </c>
      <c r="F31" s="40">
        <v>0</v>
      </c>
      <c r="G31" s="14">
        <v>1</v>
      </c>
      <c r="H31" s="14">
        <f>'[1]2014-Unv-Plan-Cascaded'!K29</f>
        <v>0</v>
      </c>
      <c r="I31" s="33">
        <v>0</v>
      </c>
      <c r="J31" s="34">
        <v>0.03</v>
      </c>
      <c r="K31" s="35">
        <v>0</v>
      </c>
      <c r="L31" s="36">
        <v>0</v>
      </c>
      <c r="M31" s="36">
        <v>0</v>
      </c>
      <c r="N31" s="36">
        <v>0</v>
      </c>
      <c r="O31" s="36">
        <v>0</v>
      </c>
      <c r="P31" s="49">
        <v>0.03</v>
      </c>
      <c r="Q31" s="117"/>
      <c r="R31" s="117"/>
      <c r="S31" s="117"/>
      <c r="T31" s="117"/>
      <c r="U31" s="117"/>
      <c r="V31" s="117"/>
      <c r="W31" s="118"/>
      <c r="X31" s="118"/>
      <c r="Y31" s="118"/>
      <c r="Z31" s="117"/>
      <c r="AA31" s="117"/>
      <c r="AB31" s="117"/>
      <c r="AC31" s="117"/>
      <c r="AD31" s="117"/>
      <c r="AE31" s="117"/>
      <c r="AF31" s="117"/>
      <c r="AG31" s="117"/>
      <c r="AH31" s="118"/>
      <c r="AI31" s="118"/>
      <c r="AJ31" s="118"/>
      <c r="AK31" s="118"/>
      <c r="AL31" s="117"/>
      <c r="AM31" s="117"/>
      <c r="AN31" s="117"/>
      <c r="AO31" s="117"/>
      <c r="AP31" s="117"/>
      <c r="AQ31" s="117"/>
      <c r="AR31" s="117"/>
      <c r="AS31" s="117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</row>
    <row r="32" spans="1:58" ht="25.5">
      <c r="A32" s="124" t="s">
        <v>69</v>
      </c>
      <c r="B32" s="127" t="s">
        <v>70</v>
      </c>
      <c r="C32" s="9" t="s">
        <v>71</v>
      </c>
      <c r="D32" s="10" t="s">
        <v>72</v>
      </c>
      <c r="E32" s="11">
        <v>0.25</v>
      </c>
      <c r="F32" s="13"/>
      <c r="G32" s="13">
        <v>1</v>
      </c>
      <c r="H32" s="14">
        <f>'[1]2014-Unv-Plan-Cascaded'!K30</f>
        <v>0</v>
      </c>
      <c r="I32" s="50"/>
      <c r="J32" s="34">
        <v>0</v>
      </c>
      <c r="K32" s="35"/>
      <c r="L32" s="36"/>
      <c r="M32" s="36"/>
      <c r="N32" s="29"/>
      <c r="O32" s="29"/>
      <c r="P32" s="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</row>
    <row r="33" spans="1:58" ht="25.5">
      <c r="A33" s="125"/>
      <c r="B33" s="125"/>
      <c r="C33" s="124" t="s">
        <v>73</v>
      </c>
      <c r="D33" s="10" t="s">
        <v>74</v>
      </c>
      <c r="E33" s="11">
        <v>3</v>
      </c>
      <c r="F33" s="13"/>
      <c r="G33" s="13">
        <v>13</v>
      </c>
      <c r="H33" s="14">
        <f>'[1]2014-Unv-Plan-Cascaded'!K31</f>
        <v>0</v>
      </c>
      <c r="I33" s="51"/>
      <c r="J33" s="52">
        <v>0</v>
      </c>
      <c r="K33" s="53"/>
      <c r="L33" s="54"/>
      <c r="M33" s="54"/>
      <c r="N33" s="29"/>
      <c r="O33" s="29"/>
      <c r="P33" s="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</row>
    <row r="34" spans="1:58">
      <c r="A34" s="125"/>
      <c r="B34" s="125"/>
      <c r="C34" s="126"/>
      <c r="D34" s="10" t="s">
        <v>75</v>
      </c>
      <c r="E34" s="11">
        <v>1</v>
      </c>
      <c r="F34" s="13"/>
      <c r="G34" s="14">
        <v>1</v>
      </c>
      <c r="H34" s="14">
        <f>'[1]2014-Unv-Plan-Cascaded'!K32</f>
        <v>0</v>
      </c>
      <c r="I34" s="51"/>
      <c r="J34" s="52">
        <v>0</v>
      </c>
      <c r="K34" s="53"/>
      <c r="L34" s="54"/>
      <c r="M34" s="54"/>
      <c r="N34" s="29"/>
      <c r="O34" s="29"/>
      <c r="P34" s="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</row>
    <row r="35" spans="1:58" ht="25.5">
      <c r="A35" s="125"/>
      <c r="B35" s="125"/>
      <c r="C35" s="55"/>
      <c r="D35" s="56" t="s">
        <v>76</v>
      </c>
      <c r="E35" s="11">
        <v>0.5</v>
      </c>
      <c r="F35" s="13"/>
      <c r="G35" s="14">
        <v>0.3</v>
      </c>
      <c r="H35" s="14">
        <f>'[1]2014-Unv-Plan-Cascaded'!K33</f>
        <v>0</v>
      </c>
      <c r="I35" s="51"/>
      <c r="J35" s="52">
        <v>0</v>
      </c>
      <c r="K35" s="53"/>
      <c r="L35" s="54"/>
      <c r="M35" s="54"/>
      <c r="N35" s="29"/>
      <c r="O35" s="29"/>
      <c r="P35" s="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</row>
    <row r="36" spans="1:58" ht="25.5">
      <c r="A36" s="125"/>
      <c r="B36" s="125"/>
      <c r="C36" s="55"/>
      <c r="D36" s="56" t="s">
        <v>77</v>
      </c>
      <c r="E36" s="11">
        <v>0.5</v>
      </c>
      <c r="F36" s="13"/>
      <c r="G36" s="14">
        <v>0.3</v>
      </c>
      <c r="H36" s="14">
        <f>'[1]2014-Unv-Plan-Cascaded'!K34</f>
        <v>0</v>
      </c>
      <c r="I36" s="51"/>
      <c r="J36" s="52">
        <v>0</v>
      </c>
      <c r="K36" s="53"/>
      <c r="L36" s="54"/>
      <c r="M36" s="54"/>
      <c r="N36" s="29"/>
      <c r="O36" s="29"/>
      <c r="P36" s="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</row>
    <row r="37" spans="1:58">
      <c r="A37" s="125"/>
      <c r="B37" s="125"/>
      <c r="C37" s="130" t="s">
        <v>78</v>
      </c>
      <c r="D37" s="10" t="s">
        <v>79</v>
      </c>
      <c r="E37" s="11">
        <v>0</v>
      </c>
      <c r="F37" s="13"/>
      <c r="G37" s="14">
        <v>0</v>
      </c>
      <c r="H37" s="14">
        <f>'[1]2014-Unv-Plan-Cascaded'!K35</f>
        <v>0</v>
      </c>
      <c r="I37" s="51"/>
      <c r="J37" s="52">
        <v>0</v>
      </c>
      <c r="K37" s="53"/>
      <c r="L37" s="54"/>
      <c r="M37" s="54"/>
      <c r="N37" s="29"/>
      <c r="O37" s="29"/>
      <c r="P37" s="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</row>
    <row r="38" spans="1:58" ht="25.5">
      <c r="A38" s="125"/>
      <c r="B38" s="125"/>
      <c r="C38" s="125"/>
      <c r="D38" s="10" t="s">
        <v>80</v>
      </c>
      <c r="E38" s="11">
        <v>0</v>
      </c>
      <c r="F38" s="13"/>
      <c r="G38" s="14">
        <v>0</v>
      </c>
      <c r="H38" s="14">
        <f>'[1]2014-Unv-Plan-Cascaded'!K36</f>
        <v>0</v>
      </c>
      <c r="I38" s="51"/>
      <c r="J38" s="52">
        <v>0</v>
      </c>
      <c r="K38" s="53"/>
      <c r="L38" s="54"/>
      <c r="M38" s="54"/>
      <c r="N38" s="29"/>
      <c r="O38" s="29"/>
      <c r="P38" s="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</row>
    <row r="39" spans="1:58" ht="25.5">
      <c r="A39" s="125"/>
      <c r="B39" s="125"/>
      <c r="C39" s="124" t="s">
        <v>81</v>
      </c>
      <c r="D39" s="10" t="s">
        <v>82</v>
      </c>
      <c r="E39" s="11">
        <v>0.25</v>
      </c>
      <c r="F39" s="40">
        <v>5</v>
      </c>
      <c r="G39" s="13">
        <v>13</v>
      </c>
      <c r="H39" s="14">
        <f>'[1]2014-Unv-Plan-Cascaded'!K37</f>
        <v>0</v>
      </c>
      <c r="I39" s="51"/>
      <c r="J39" s="52">
        <v>0</v>
      </c>
      <c r="K39" s="53"/>
      <c r="L39" s="54"/>
      <c r="M39" s="54"/>
      <c r="N39" s="29"/>
      <c r="O39" s="29"/>
      <c r="P39" s="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</row>
    <row r="40" spans="1:58" ht="25.5">
      <c r="A40" s="125"/>
      <c r="B40" s="125"/>
      <c r="C40" s="125"/>
      <c r="D40" s="10" t="s">
        <v>83</v>
      </c>
      <c r="E40" s="11">
        <v>0.25</v>
      </c>
      <c r="F40" s="57" t="s">
        <v>84</v>
      </c>
      <c r="G40" s="58" t="s">
        <v>85</v>
      </c>
      <c r="H40" s="14">
        <f>'[1]2014-Unv-Plan-Cascaded'!K38</f>
        <v>0</v>
      </c>
      <c r="I40" s="51"/>
      <c r="J40" s="52">
        <v>0</v>
      </c>
      <c r="K40" s="53"/>
      <c r="L40" s="54"/>
      <c r="M40" s="54"/>
      <c r="N40" s="29"/>
      <c r="O40" s="29"/>
      <c r="P40" s="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</row>
    <row r="41" spans="1:58" ht="25.5">
      <c r="A41" s="125"/>
      <c r="B41" s="125"/>
      <c r="C41" s="125"/>
      <c r="D41" s="10" t="s">
        <v>86</v>
      </c>
      <c r="E41" s="11">
        <v>0.25</v>
      </c>
      <c r="F41" s="40" t="s">
        <v>87</v>
      </c>
      <c r="G41" s="13" t="s">
        <v>88</v>
      </c>
      <c r="H41" s="14">
        <f>'[1]2014-Unv-Plan-Cascaded'!K39</f>
        <v>0</v>
      </c>
      <c r="I41" s="51"/>
      <c r="J41" s="52">
        <v>0</v>
      </c>
      <c r="K41" s="53"/>
      <c r="L41" s="54"/>
      <c r="M41" s="54"/>
      <c r="N41" s="29"/>
      <c r="O41" s="29"/>
      <c r="P41" s="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</row>
    <row r="42" spans="1:58">
      <c r="A42" s="125"/>
      <c r="B42" s="125"/>
      <c r="C42" s="125"/>
      <c r="D42" s="10" t="s">
        <v>89</v>
      </c>
      <c r="E42" s="11">
        <v>0.25</v>
      </c>
      <c r="F42" s="59">
        <v>5.3472222222222199E-2</v>
      </c>
      <c r="G42" s="13" t="s">
        <v>90</v>
      </c>
      <c r="H42" s="14">
        <f>'[1]2014-Unv-Plan-Cascaded'!K40</f>
        <v>0</v>
      </c>
      <c r="I42" s="51"/>
      <c r="J42" s="52">
        <v>0</v>
      </c>
      <c r="K42" s="53"/>
      <c r="L42" s="54"/>
      <c r="M42" s="54"/>
      <c r="N42" s="29"/>
      <c r="O42" s="29"/>
      <c r="P42" s="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</row>
    <row r="43" spans="1:58">
      <c r="A43" s="125"/>
      <c r="B43" s="125"/>
      <c r="C43" s="126"/>
      <c r="D43" s="10" t="s">
        <v>91</v>
      </c>
      <c r="E43" s="11">
        <v>0.25</v>
      </c>
      <c r="F43" s="40" t="s">
        <v>92</v>
      </c>
      <c r="G43" s="60" t="s">
        <v>93</v>
      </c>
      <c r="H43" s="14">
        <f>'[1]2014-Unv-Plan-Cascaded'!K41</f>
        <v>0</v>
      </c>
      <c r="I43" s="51"/>
      <c r="J43" s="52">
        <v>0</v>
      </c>
      <c r="K43" s="53"/>
      <c r="L43" s="54"/>
      <c r="M43" s="54"/>
      <c r="N43" s="29"/>
      <c r="O43" s="29"/>
      <c r="P43" s="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</row>
    <row r="44" spans="1:58" ht="25.5">
      <c r="A44" s="125"/>
      <c r="B44" s="125"/>
      <c r="C44" s="127" t="s">
        <v>94</v>
      </c>
      <c r="D44" s="10" t="s">
        <v>95</v>
      </c>
      <c r="E44" s="11">
        <v>0.5</v>
      </c>
      <c r="F44" s="61">
        <v>0.42899999999999999</v>
      </c>
      <c r="G44" s="14">
        <v>0.8</v>
      </c>
      <c r="H44" s="14">
        <f>'[1]2014-Unv-Plan-Cascaded'!K42</f>
        <v>0</v>
      </c>
      <c r="I44" s="51"/>
      <c r="J44" s="52">
        <v>0</v>
      </c>
      <c r="K44" s="53"/>
      <c r="L44" s="54"/>
      <c r="M44" s="54"/>
      <c r="N44" s="29"/>
      <c r="O44" s="29"/>
      <c r="P44" s="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</row>
    <row r="45" spans="1:58" ht="25.5">
      <c r="A45" s="125"/>
      <c r="B45" s="125"/>
      <c r="C45" s="125"/>
      <c r="D45" s="10" t="s">
        <v>96</v>
      </c>
      <c r="E45" s="62">
        <v>0.25</v>
      </c>
      <c r="F45" s="61">
        <v>0.81599999999999995</v>
      </c>
      <c r="G45" s="63">
        <v>0.98</v>
      </c>
      <c r="H45" s="14">
        <f>'[1]2014-Unv-Plan-Cascaded'!K43</f>
        <v>0</v>
      </c>
      <c r="I45" s="51"/>
      <c r="J45" s="52">
        <v>0</v>
      </c>
      <c r="K45" s="53"/>
      <c r="L45" s="54"/>
      <c r="M45" s="54"/>
      <c r="N45" s="29"/>
      <c r="O45" s="29"/>
      <c r="P45" s="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7"/>
    </row>
    <row r="46" spans="1:58" ht="25.5">
      <c r="A46" s="125"/>
      <c r="B46" s="125"/>
      <c r="C46" s="125"/>
      <c r="D46" s="10" t="s">
        <v>97</v>
      </c>
      <c r="E46" s="62">
        <v>0.25</v>
      </c>
      <c r="F46" s="40">
        <v>0</v>
      </c>
      <c r="G46" s="63">
        <v>1</v>
      </c>
      <c r="H46" s="14">
        <f>'[1]2014-Unv-Plan-Cascaded'!K44</f>
        <v>0</v>
      </c>
      <c r="I46" s="51"/>
      <c r="J46" s="52">
        <v>0</v>
      </c>
      <c r="K46" s="53"/>
      <c r="L46" s="54"/>
      <c r="M46" s="54"/>
      <c r="N46" s="29"/>
      <c r="O46" s="29"/>
      <c r="P46" s="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</row>
    <row r="47" spans="1:58">
      <c r="A47" s="125"/>
      <c r="B47" s="125"/>
      <c r="C47" s="125"/>
      <c r="D47" s="10" t="s">
        <v>98</v>
      </c>
      <c r="E47" s="62">
        <v>0.25</v>
      </c>
      <c r="F47" s="40">
        <v>0</v>
      </c>
      <c r="G47" s="63">
        <v>1</v>
      </c>
      <c r="H47" s="14">
        <f>'[1]2014-Unv-Plan-Cascaded'!K45</f>
        <v>0</v>
      </c>
      <c r="I47" s="51"/>
      <c r="J47" s="52">
        <v>0</v>
      </c>
      <c r="K47" s="53"/>
      <c r="L47" s="54"/>
      <c r="M47" s="54"/>
      <c r="N47" s="29"/>
      <c r="O47" s="29"/>
      <c r="P47" s="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</row>
    <row r="48" spans="1:58" ht="25.5">
      <c r="A48" s="125"/>
      <c r="B48" s="126"/>
      <c r="C48" s="126"/>
      <c r="D48" s="64" t="s">
        <v>99</v>
      </c>
      <c r="E48" s="62">
        <v>0.25</v>
      </c>
      <c r="F48" s="40">
        <v>0</v>
      </c>
      <c r="G48" s="63">
        <v>1</v>
      </c>
      <c r="H48" s="14">
        <f>'[1]2014-Unv-Plan-Cascaded'!K46</f>
        <v>0</v>
      </c>
      <c r="I48" s="51"/>
      <c r="J48" s="52">
        <v>0</v>
      </c>
      <c r="K48" s="53"/>
      <c r="L48" s="54"/>
      <c r="M48" s="54"/>
      <c r="N48" s="29"/>
      <c r="O48" s="29"/>
      <c r="P48" s="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</row>
    <row r="49" spans="1:58">
      <c r="A49" s="125"/>
      <c r="B49" s="124" t="s">
        <v>100</v>
      </c>
      <c r="C49" s="124" t="s">
        <v>101</v>
      </c>
      <c r="D49" s="10" t="s">
        <v>102</v>
      </c>
      <c r="E49" s="65">
        <v>0.05</v>
      </c>
      <c r="F49" s="66">
        <v>13</v>
      </c>
      <c r="G49" s="67">
        <v>17</v>
      </c>
      <c r="H49" s="14">
        <f>'[1]2014-Unv-Plan-Cascaded'!K47</f>
        <v>0</v>
      </c>
      <c r="I49" s="51"/>
      <c r="J49" s="52">
        <v>0</v>
      </c>
      <c r="K49" s="53"/>
      <c r="L49" s="54"/>
      <c r="M49" s="54"/>
      <c r="N49" s="29"/>
      <c r="O49" s="29"/>
      <c r="P49" s="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</row>
    <row r="50" spans="1:58" ht="25.5">
      <c r="A50" s="125"/>
      <c r="B50" s="125"/>
      <c r="C50" s="125"/>
      <c r="D50" s="10" t="s">
        <v>103</v>
      </c>
      <c r="E50" s="68">
        <v>0.05</v>
      </c>
      <c r="F50" s="40">
        <v>3</v>
      </c>
      <c r="G50" s="67">
        <v>10</v>
      </c>
      <c r="H50" s="14">
        <f>'[1]2014-Unv-Plan-Cascaded'!K48</f>
        <v>0</v>
      </c>
      <c r="I50" s="51"/>
      <c r="J50" s="52">
        <v>0</v>
      </c>
      <c r="K50" s="53"/>
      <c r="L50" s="54"/>
      <c r="M50" s="54"/>
      <c r="N50" s="29"/>
      <c r="O50" s="29"/>
      <c r="P50" s="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</row>
    <row r="51" spans="1:58">
      <c r="A51" s="125"/>
      <c r="B51" s="125"/>
      <c r="C51" s="125"/>
      <c r="D51" s="10" t="s">
        <v>104</v>
      </c>
      <c r="E51" s="68">
        <v>0</v>
      </c>
      <c r="F51" s="40">
        <v>13</v>
      </c>
      <c r="G51" s="67">
        <v>13</v>
      </c>
      <c r="H51" s="14">
        <f>'[1]2014-Unv-Plan-Cascaded'!K49</f>
        <v>0</v>
      </c>
      <c r="I51" s="51"/>
      <c r="J51" s="52">
        <v>0</v>
      </c>
      <c r="K51" s="53"/>
      <c r="L51" s="54"/>
      <c r="M51" s="54"/>
      <c r="N51" s="29"/>
      <c r="O51" s="29"/>
      <c r="P51" s="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</row>
    <row r="52" spans="1:58">
      <c r="A52" s="125"/>
      <c r="B52" s="125"/>
      <c r="C52" s="125"/>
      <c r="D52" s="10" t="s">
        <v>105</v>
      </c>
      <c r="E52" s="68">
        <v>0.1</v>
      </c>
      <c r="F52" s="40">
        <v>5</v>
      </c>
      <c r="G52" s="67">
        <v>13</v>
      </c>
      <c r="H52" s="14">
        <f>'[1]2014-Unv-Plan-Cascaded'!K50</f>
        <v>0</v>
      </c>
      <c r="I52" s="51"/>
      <c r="J52" s="52">
        <v>0</v>
      </c>
      <c r="K52" s="53"/>
      <c r="L52" s="54"/>
      <c r="M52" s="54"/>
      <c r="N52" s="29"/>
      <c r="O52" s="29"/>
      <c r="P52" s="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</row>
    <row r="53" spans="1:58" ht="25.5">
      <c r="A53" s="125"/>
      <c r="B53" s="125"/>
      <c r="C53" s="125"/>
      <c r="D53" s="10" t="s">
        <v>106</v>
      </c>
      <c r="E53" s="68">
        <v>0.1</v>
      </c>
      <c r="F53" s="40">
        <v>36</v>
      </c>
      <c r="G53" s="67">
        <v>46</v>
      </c>
      <c r="H53" s="14">
        <f>'[1]2014-Unv-Plan-Cascaded'!K51</f>
        <v>0</v>
      </c>
      <c r="I53" s="51"/>
      <c r="J53" s="52">
        <v>0</v>
      </c>
      <c r="K53" s="53"/>
      <c r="L53" s="54"/>
      <c r="M53" s="54"/>
      <c r="N53" s="29"/>
      <c r="O53" s="29"/>
      <c r="P53" s="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</row>
    <row r="54" spans="1:58" ht="25.5">
      <c r="A54" s="125"/>
      <c r="B54" s="125"/>
      <c r="C54" s="125"/>
      <c r="D54" s="10" t="s">
        <v>107</v>
      </c>
      <c r="E54" s="68">
        <v>0.1</v>
      </c>
      <c r="F54" s="30">
        <v>35</v>
      </c>
      <c r="G54" s="67">
        <v>56</v>
      </c>
      <c r="H54" s="14">
        <f>'[1]2014-Unv-Plan-Cascaded'!K52</f>
        <v>0</v>
      </c>
      <c r="I54" s="51"/>
      <c r="J54" s="52">
        <v>0</v>
      </c>
      <c r="K54" s="53"/>
      <c r="L54" s="54"/>
      <c r="M54" s="54"/>
      <c r="N54" s="29"/>
      <c r="O54" s="29"/>
      <c r="P54" s="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</row>
    <row r="55" spans="1:58">
      <c r="A55" s="125"/>
      <c r="B55" s="125"/>
      <c r="C55" s="124" t="s">
        <v>108</v>
      </c>
      <c r="D55" s="10" t="s">
        <v>109</v>
      </c>
      <c r="E55" s="68">
        <v>0.1</v>
      </c>
      <c r="F55" s="40">
        <v>1613</v>
      </c>
      <c r="G55" s="67">
        <v>1800</v>
      </c>
      <c r="H55" s="14">
        <f>'[1]2014-Unv-Plan-Cascaded'!K53</f>
        <v>0</v>
      </c>
      <c r="I55" s="51"/>
      <c r="J55" s="52">
        <v>0</v>
      </c>
      <c r="K55" s="53"/>
      <c r="L55" s="54"/>
      <c r="M55" s="54"/>
      <c r="N55" s="29"/>
      <c r="O55" s="29"/>
      <c r="P55" s="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</row>
    <row r="56" spans="1:58">
      <c r="A56" s="125"/>
      <c r="B56" s="125"/>
      <c r="C56" s="125"/>
      <c r="D56" s="10" t="s">
        <v>110</v>
      </c>
      <c r="E56" s="68">
        <v>7.4999999999999997E-2</v>
      </c>
      <c r="F56" s="69">
        <v>267</v>
      </c>
      <c r="G56" s="67">
        <v>885</v>
      </c>
      <c r="H56" s="14">
        <f>'[1]2014-Unv-Plan-Cascaded'!K54</f>
        <v>0</v>
      </c>
      <c r="I56" s="51"/>
      <c r="J56" s="52">
        <v>0</v>
      </c>
      <c r="K56" s="53"/>
      <c r="L56" s="54"/>
      <c r="M56" s="54"/>
      <c r="N56" s="29"/>
      <c r="O56" s="29"/>
      <c r="P56" s="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</row>
    <row r="57" spans="1:58" ht="25.5">
      <c r="A57" s="125"/>
      <c r="B57" s="125"/>
      <c r="C57" s="125"/>
      <c r="D57" s="10" t="s">
        <v>111</v>
      </c>
      <c r="E57" s="68">
        <v>2.5000000000000001E-2</v>
      </c>
      <c r="F57" s="69">
        <v>60</v>
      </c>
      <c r="G57" s="67"/>
      <c r="H57" s="14">
        <f>'[1]2014-Unv-Plan-Cascaded'!K55</f>
        <v>0</v>
      </c>
      <c r="I57" s="51"/>
      <c r="J57" s="52">
        <v>0</v>
      </c>
      <c r="K57" s="53"/>
      <c r="L57" s="54"/>
      <c r="M57" s="54"/>
      <c r="N57" s="29"/>
      <c r="O57" s="29"/>
      <c r="P57" s="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</row>
    <row r="58" spans="1:58" ht="38.25">
      <c r="A58" s="125"/>
      <c r="B58" s="125"/>
      <c r="C58" s="125"/>
      <c r="D58" s="10" t="s">
        <v>112</v>
      </c>
      <c r="E58" s="68">
        <v>0.05</v>
      </c>
      <c r="F58" s="40">
        <v>59</v>
      </c>
      <c r="G58" s="67">
        <v>310</v>
      </c>
      <c r="H58" s="14">
        <f>'[1]2014-Unv-Plan-Cascaded'!K56</f>
        <v>0</v>
      </c>
      <c r="I58" s="51"/>
      <c r="J58" s="52">
        <v>0</v>
      </c>
      <c r="K58" s="53"/>
      <c r="L58" s="54"/>
      <c r="M58" s="54"/>
      <c r="N58" s="29"/>
      <c r="O58" s="29"/>
      <c r="P58" s="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</row>
    <row r="59" spans="1:58" ht="38.25">
      <c r="A59" s="125"/>
      <c r="B59" s="125"/>
      <c r="C59" s="125"/>
      <c r="D59" s="10" t="s">
        <v>113</v>
      </c>
      <c r="E59" s="68">
        <v>0.05</v>
      </c>
      <c r="F59" s="40">
        <v>41</v>
      </c>
      <c r="G59" s="67">
        <v>400</v>
      </c>
      <c r="H59" s="14">
        <f>'[1]2014-Unv-Plan-Cascaded'!K57</f>
        <v>0</v>
      </c>
      <c r="I59" s="51"/>
      <c r="J59" s="52">
        <v>0</v>
      </c>
      <c r="K59" s="53"/>
      <c r="L59" s="54"/>
      <c r="M59" s="54"/>
      <c r="N59" s="29"/>
      <c r="O59" s="29"/>
      <c r="P59" s="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</row>
    <row r="60" spans="1:58" ht="25.5">
      <c r="A60" s="125"/>
      <c r="B60" s="125"/>
      <c r="C60" s="125"/>
      <c r="D60" s="10" t="s">
        <v>114</v>
      </c>
      <c r="E60" s="68">
        <v>0.1</v>
      </c>
      <c r="F60" s="40">
        <v>0</v>
      </c>
      <c r="G60" s="70">
        <v>0.05</v>
      </c>
      <c r="H60" s="14">
        <f>'[1]2014-Unv-Plan-Cascaded'!K58</f>
        <v>0</v>
      </c>
      <c r="I60" s="51"/>
      <c r="J60" s="52">
        <v>0</v>
      </c>
      <c r="K60" s="53"/>
      <c r="L60" s="54"/>
      <c r="M60" s="54"/>
      <c r="N60" s="29"/>
      <c r="O60" s="29"/>
      <c r="P60" s="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</row>
    <row r="61" spans="1:58">
      <c r="A61" s="125"/>
      <c r="B61" s="125"/>
      <c r="C61" s="125"/>
      <c r="D61" s="10" t="s">
        <v>115</v>
      </c>
      <c r="E61" s="68">
        <v>0.1</v>
      </c>
      <c r="F61" s="71">
        <v>0.17</v>
      </c>
      <c r="G61" s="70">
        <v>0.2</v>
      </c>
      <c r="H61" s="14">
        <f>'[1]2014-Unv-Plan-Cascaded'!K59</f>
        <v>0</v>
      </c>
      <c r="I61" s="51"/>
      <c r="J61" s="52">
        <v>0</v>
      </c>
      <c r="K61" s="53"/>
      <c r="L61" s="54"/>
      <c r="M61" s="54"/>
      <c r="N61" s="29"/>
      <c r="O61" s="29"/>
      <c r="P61" s="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</row>
    <row r="62" spans="1:58">
      <c r="A62" s="125"/>
      <c r="B62" s="126"/>
      <c r="C62" s="126"/>
      <c r="D62" s="10" t="s">
        <v>116</v>
      </c>
      <c r="E62" s="68">
        <v>0.1</v>
      </c>
      <c r="F62" s="71">
        <v>0.12</v>
      </c>
      <c r="G62" s="70">
        <v>0.15</v>
      </c>
      <c r="H62" s="14">
        <f>'[1]2014-Unv-Plan-Cascaded'!K60</f>
        <v>0</v>
      </c>
      <c r="I62" s="51"/>
      <c r="J62" s="52">
        <v>0</v>
      </c>
      <c r="K62" s="53"/>
      <c r="L62" s="54"/>
      <c r="M62" s="54"/>
      <c r="N62" s="29"/>
      <c r="O62" s="29"/>
      <c r="P62" s="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</row>
    <row r="63" spans="1:58" ht="25.5">
      <c r="A63" s="125"/>
      <c r="B63" s="130" t="s">
        <v>117</v>
      </c>
      <c r="C63" s="124" t="s">
        <v>118</v>
      </c>
      <c r="D63" s="10" t="s">
        <v>119</v>
      </c>
      <c r="E63" s="11">
        <v>0.5</v>
      </c>
      <c r="F63" s="40">
        <v>4</v>
      </c>
      <c r="G63" s="13">
        <v>16</v>
      </c>
      <c r="H63" s="14">
        <f>'[1]2014-Unv-Plan-Cascaded'!K61</f>
        <v>0</v>
      </c>
      <c r="I63" s="51"/>
      <c r="J63" s="52">
        <v>0</v>
      </c>
      <c r="K63" s="53"/>
      <c r="L63" s="54"/>
      <c r="M63" s="54"/>
      <c r="N63" s="29"/>
      <c r="O63" s="29"/>
      <c r="P63" s="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</row>
    <row r="64" spans="1:58" ht="25.5">
      <c r="A64" s="125"/>
      <c r="B64" s="125"/>
      <c r="C64" s="126"/>
      <c r="D64" s="10" t="s">
        <v>120</v>
      </c>
      <c r="E64" s="11">
        <v>0.5</v>
      </c>
      <c r="F64" s="69">
        <v>8</v>
      </c>
      <c r="G64" s="13">
        <v>18</v>
      </c>
      <c r="H64" s="14">
        <f>'[1]2014-Unv-Plan-Cascaded'!K62</f>
        <v>0</v>
      </c>
      <c r="I64" s="51"/>
      <c r="J64" s="52">
        <v>0</v>
      </c>
      <c r="K64" s="53"/>
      <c r="L64" s="54"/>
      <c r="M64" s="54"/>
      <c r="N64" s="29"/>
      <c r="O64" s="29"/>
      <c r="P64" s="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</row>
    <row r="65" spans="1:58" ht="38.25">
      <c r="A65" s="125"/>
      <c r="B65" s="125"/>
      <c r="C65" s="124" t="s">
        <v>121</v>
      </c>
      <c r="D65" s="10" t="s">
        <v>122</v>
      </c>
      <c r="E65" s="11">
        <v>0.5</v>
      </c>
      <c r="F65" s="66">
        <v>200</v>
      </c>
      <c r="G65" s="13">
        <v>4000</v>
      </c>
      <c r="H65" s="14">
        <f>'[1]2014-Unv-Plan-Cascaded'!K63</f>
        <v>0</v>
      </c>
      <c r="I65" s="51"/>
      <c r="J65" s="52">
        <v>0</v>
      </c>
      <c r="K65" s="53"/>
      <c r="L65" s="54"/>
      <c r="M65" s="54"/>
      <c r="N65" s="29"/>
      <c r="O65" s="29"/>
      <c r="P65" s="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</row>
    <row r="66" spans="1:58">
      <c r="A66" s="125"/>
      <c r="B66" s="125"/>
      <c r="C66" s="125"/>
      <c r="D66" s="10" t="s">
        <v>123</v>
      </c>
      <c r="E66" s="62">
        <v>0.5</v>
      </c>
      <c r="F66" s="40">
        <v>2</v>
      </c>
      <c r="G66" s="72">
        <v>8</v>
      </c>
      <c r="H66" s="14">
        <f>'[1]2014-Unv-Plan-Cascaded'!K64</f>
        <v>0</v>
      </c>
      <c r="I66" s="51"/>
      <c r="J66" s="52">
        <v>0</v>
      </c>
      <c r="K66" s="53"/>
      <c r="L66" s="54"/>
      <c r="M66" s="54"/>
      <c r="N66" s="29"/>
      <c r="O66" s="29"/>
      <c r="P66" s="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</row>
    <row r="67" spans="1:58">
      <c r="A67" s="125"/>
      <c r="B67" s="125"/>
      <c r="C67" s="125"/>
      <c r="D67" s="10" t="s">
        <v>124</v>
      </c>
      <c r="E67" s="11">
        <v>0.5</v>
      </c>
      <c r="F67" s="40">
        <v>3</v>
      </c>
      <c r="G67" s="13">
        <v>5</v>
      </c>
      <c r="H67" s="14">
        <f>'[1]2014-Unv-Plan-Cascaded'!K65</f>
        <v>0</v>
      </c>
      <c r="I67" s="51"/>
      <c r="J67" s="52">
        <v>0</v>
      </c>
      <c r="K67" s="53"/>
      <c r="L67" s="54"/>
      <c r="M67" s="54"/>
      <c r="N67" s="29"/>
      <c r="O67" s="29"/>
      <c r="P67" s="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</row>
    <row r="68" spans="1:58">
      <c r="A68" s="125"/>
      <c r="B68" s="125"/>
      <c r="C68" s="126"/>
      <c r="D68" s="10" t="s">
        <v>125</v>
      </c>
      <c r="E68" s="11">
        <v>0.5</v>
      </c>
      <c r="F68" s="40">
        <v>4</v>
      </c>
      <c r="G68" s="13">
        <v>6</v>
      </c>
      <c r="H68" s="14">
        <f>'[1]2014-Unv-Plan-Cascaded'!K66</f>
        <v>0</v>
      </c>
      <c r="I68" s="51"/>
      <c r="J68" s="52">
        <v>0</v>
      </c>
      <c r="K68" s="53"/>
      <c r="L68" s="54"/>
      <c r="M68" s="54"/>
      <c r="N68" s="29"/>
      <c r="O68" s="29"/>
      <c r="P68" s="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</row>
    <row r="69" spans="1:58" ht="25.5">
      <c r="A69" s="125"/>
      <c r="B69" s="124" t="s">
        <v>126</v>
      </c>
      <c r="C69" s="124" t="s">
        <v>127</v>
      </c>
      <c r="D69" s="10" t="s">
        <v>128</v>
      </c>
      <c r="E69" s="11">
        <v>0.75</v>
      </c>
      <c r="F69" s="40">
        <v>1000</v>
      </c>
      <c r="G69" s="13">
        <v>1500</v>
      </c>
      <c r="H69" s="14">
        <f>'[1]2014-Unv-Plan-Cascaded'!K67</f>
        <v>0</v>
      </c>
      <c r="I69" s="51"/>
      <c r="J69" s="52">
        <v>0</v>
      </c>
      <c r="K69" s="53"/>
      <c r="L69" s="54"/>
      <c r="M69" s="54"/>
      <c r="N69" s="29"/>
      <c r="O69" s="29"/>
      <c r="P69" s="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</row>
    <row r="70" spans="1:58" ht="38.25">
      <c r="A70" s="125"/>
      <c r="B70" s="125"/>
      <c r="C70" s="125"/>
      <c r="D70" s="10" t="s">
        <v>129</v>
      </c>
      <c r="E70" s="11">
        <v>0.75</v>
      </c>
      <c r="F70" s="40">
        <v>1900</v>
      </c>
      <c r="G70" s="14">
        <v>1</v>
      </c>
      <c r="H70" s="14">
        <f>'[1]2014-Unv-Plan-Cascaded'!K68</f>
        <v>0</v>
      </c>
      <c r="I70" s="51"/>
      <c r="J70" s="52">
        <v>0</v>
      </c>
      <c r="K70" s="53"/>
      <c r="L70" s="54"/>
      <c r="M70" s="54"/>
      <c r="N70" s="29"/>
      <c r="O70" s="29"/>
      <c r="P70" s="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</row>
    <row r="71" spans="1:58">
      <c r="A71" s="125"/>
      <c r="B71" s="125"/>
      <c r="C71" s="130" t="s">
        <v>130</v>
      </c>
      <c r="D71" s="10" t="s">
        <v>131</v>
      </c>
      <c r="E71" s="11">
        <v>0.5</v>
      </c>
      <c r="F71" s="40">
        <v>0</v>
      </c>
      <c r="G71" s="14">
        <v>0.02</v>
      </c>
      <c r="H71" s="14">
        <f>'[1]2014-Unv-Plan-Cascaded'!K69</f>
        <v>0</v>
      </c>
      <c r="I71" s="51"/>
      <c r="J71" s="52">
        <v>0</v>
      </c>
      <c r="K71" s="53"/>
      <c r="L71" s="54"/>
      <c r="M71" s="54"/>
      <c r="N71" s="29"/>
      <c r="O71" s="29"/>
      <c r="P71" s="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</row>
    <row r="72" spans="1:58">
      <c r="A72" s="125"/>
      <c r="B72" s="125"/>
      <c r="C72" s="125"/>
      <c r="D72" s="10" t="s">
        <v>132</v>
      </c>
      <c r="E72" s="11">
        <v>0.75</v>
      </c>
      <c r="F72" s="40">
        <v>0</v>
      </c>
      <c r="G72" s="14">
        <v>0.78</v>
      </c>
      <c r="H72" s="14">
        <f>'[1]2014-Unv-Plan-Cascaded'!K70</f>
        <v>0</v>
      </c>
      <c r="I72" s="51"/>
      <c r="J72" s="52">
        <v>0</v>
      </c>
      <c r="K72" s="53"/>
      <c r="L72" s="54"/>
      <c r="M72" s="54"/>
      <c r="N72" s="29"/>
      <c r="O72" s="29"/>
      <c r="P72" s="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</row>
    <row r="73" spans="1:58">
      <c r="A73" s="126"/>
      <c r="B73" s="126"/>
      <c r="C73" s="126"/>
      <c r="D73" s="10" t="s">
        <v>133</v>
      </c>
      <c r="E73" s="11">
        <v>0.25</v>
      </c>
      <c r="F73" s="40">
        <v>0</v>
      </c>
      <c r="G73" s="14">
        <v>0.2</v>
      </c>
      <c r="H73" s="14">
        <f>'[1]2014-Unv-Plan-Cascaded'!K71</f>
        <v>1</v>
      </c>
      <c r="I73" s="51"/>
      <c r="J73" s="52">
        <v>0</v>
      </c>
      <c r="K73" s="53"/>
      <c r="L73" s="54"/>
      <c r="M73" s="54"/>
      <c r="N73" s="29"/>
      <c r="O73" s="29"/>
      <c r="P73" s="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</row>
    <row r="74" spans="1:58">
      <c r="A74" s="124" t="s">
        <v>134</v>
      </c>
      <c r="B74" s="124" t="s">
        <v>135</v>
      </c>
      <c r="C74" s="124" t="s">
        <v>136</v>
      </c>
      <c r="D74" s="31" t="s">
        <v>137</v>
      </c>
      <c r="E74" s="11">
        <v>0.25</v>
      </c>
      <c r="F74" s="13"/>
      <c r="G74" s="13">
        <v>1</v>
      </c>
      <c r="H74" s="14">
        <f>'[1]2014-Unv-Plan-Cascaded'!K72</f>
        <v>0.3</v>
      </c>
      <c r="I74" s="51">
        <v>0</v>
      </c>
      <c r="J74" s="52">
        <v>1</v>
      </c>
      <c r="K74" s="53">
        <v>0.25</v>
      </c>
      <c r="L74" s="54">
        <v>0.2</v>
      </c>
      <c r="M74" s="54">
        <v>0.15</v>
      </c>
      <c r="N74" s="73">
        <v>0.15</v>
      </c>
      <c r="O74" s="73">
        <v>0.15</v>
      </c>
      <c r="P74" s="74">
        <v>0.1</v>
      </c>
      <c r="Q74" s="117"/>
      <c r="R74" s="117"/>
      <c r="S74" s="117">
        <v>1.4999999999999999E-2</v>
      </c>
      <c r="T74" s="117">
        <v>1.4999999999999999E-2</v>
      </c>
      <c r="U74" s="117">
        <v>1.4999999999999999E-2</v>
      </c>
      <c r="V74" s="117">
        <v>1.4999999999999999E-2</v>
      </c>
      <c r="W74" s="120">
        <v>5.0000000000000002E-5</v>
      </c>
      <c r="X74" s="120">
        <v>5.0000000000000002E-5</v>
      </c>
      <c r="Y74" s="120">
        <v>5.0000000000000002E-5</v>
      </c>
      <c r="Z74" s="120">
        <v>5.0000000000000002E-5</v>
      </c>
      <c r="AA74" s="120">
        <v>5.0000000000000002E-5</v>
      </c>
      <c r="AB74" s="120">
        <v>5.0000000000000002E-5</v>
      </c>
      <c r="AC74" s="120">
        <v>5.0000000000000002E-5</v>
      </c>
      <c r="AD74" s="120">
        <v>5.0000000000000002E-5</v>
      </c>
      <c r="AE74" s="120">
        <v>5.0000000000000002E-5</v>
      </c>
      <c r="AF74" s="120">
        <v>5.0000000000000002E-5</v>
      </c>
      <c r="AG74" s="120">
        <v>5.0000000000000002E-5</v>
      </c>
      <c r="AH74" s="120">
        <v>5.0000000000000002E-5</v>
      </c>
      <c r="AI74" s="120">
        <v>5.0000000000000002E-5</v>
      </c>
      <c r="AJ74" s="120">
        <v>5.0000000000000002E-5</v>
      </c>
      <c r="AK74" s="120">
        <v>5.0000000000000002E-5</v>
      </c>
      <c r="AL74" s="120">
        <v>5.0000000000000002E-5</v>
      </c>
      <c r="AM74" s="120">
        <v>5.0000000000000002E-5</v>
      </c>
      <c r="AN74" s="120">
        <v>5.0000000000000002E-5</v>
      </c>
      <c r="AO74" s="120">
        <v>5.0000000000000002E-5</v>
      </c>
      <c r="AP74" s="120">
        <v>5.0000000000000002E-5</v>
      </c>
      <c r="AQ74" s="120">
        <v>5.0000000000000002E-5</v>
      </c>
      <c r="AR74" s="120">
        <v>5.0000000000000002E-5</v>
      </c>
      <c r="AS74" s="120">
        <v>5.0000000000000002E-5</v>
      </c>
      <c r="AT74" s="120">
        <v>5.0000000000000002E-5</v>
      </c>
      <c r="AU74" s="120">
        <v>5.0000000000000002E-5</v>
      </c>
      <c r="AV74" s="120">
        <v>5.0000000000000002E-5</v>
      </c>
      <c r="AW74" s="120">
        <v>5.0000000000000002E-5</v>
      </c>
      <c r="AX74" s="120">
        <v>5.0000000000000002E-5</v>
      </c>
      <c r="AY74" s="120">
        <v>5.0000000000000002E-5</v>
      </c>
      <c r="AZ74" s="120">
        <v>5.0000000000000002E-5</v>
      </c>
      <c r="BA74" s="120">
        <v>5.0000000000000002E-5</v>
      </c>
      <c r="BB74" s="120">
        <v>5.0000000000000002E-5</v>
      </c>
      <c r="BC74" s="120">
        <v>5.0000000000000002E-5</v>
      </c>
      <c r="BD74" s="120">
        <v>5.0000000000000002E-5</v>
      </c>
      <c r="BE74" s="120">
        <v>5.0000000000000002E-5</v>
      </c>
      <c r="BF74" s="120">
        <v>5.0000000000000002E-5</v>
      </c>
    </row>
    <row r="75" spans="1:58" ht="25.5">
      <c r="A75" s="125"/>
      <c r="B75" s="125"/>
      <c r="C75" s="125"/>
      <c r="D75" s="31" t="s">
        <v>138</v>
      </c>
      <c r="E75" s="11">
        <v>0.1</v>
      </c>
      <c r="F75" s="13"/>
      <c r="G75" s="13">
        <v>1</v>
      </c>
      <c r="H75" s="14">
        <f>'[1]2014-Unv-Plan-Cascaded'!K73</f>
        <v>1</v>
      </c>
      <c r="I75" s="51">
        <v>0</v>
      </c>
      <c r="J75" s="52">
        <v>0.3</v>
      </c>
      <c r="K75" s="75">
        <v>7.4999999999999997E-2</v>
      </c>
      <c r="L75" s="76">
        <v>0.06</v>
      </c>
      <c r="M75" s="76">
        <v>4.4999999999999998E-2</v>
      </c>
      <c r="N75" s="77">
        <v>4.4999999999999998E-2</v>
      </c>
      <c r="O75" s="77">
        <v>4.4999999999999998E-2</v>
      </c>
      <c r="P75" s="78">
        <v>0.03</v>
      </c>
      <c r="Q75" s="117"/>
      <c r="R75" s="117"/>
      <c r="S75" s="117">
        <v>6.0000000000000001E-3</v>
      </c>
      <c r="T75" s="117">
        <v>6.0000000000000001E-3</v>
      </c>
      <c r="U75" s="117">
        <v>6.0000000000000001E-3</v>
      </c>
      <c r="V75" s="117">
        <v>6.0000000000000001E-3</v>
      </c>
      <c r="W75" s="120">
        <v>2.0000000000000002E-5</v>
      </c>
      <c r="X75" s="120">
        <v>2.0000000000000002E-5</v>
      </c>
      <c r="Y75" s="120">
        <v>2.0000000000000002E-5</v>
      </c>
      <c r="Z75" s="120">
        <v>2.0000000000000002E-5</v>
      </c>
      <c r="AA75" s="120">
        <v>2.0000000000000002E-5</v>
      </c>
      <c r="AB75" s="120">
        <v>2.0000000000000002E-5</v>
      </c>
      <c r="AC75" s="120">
        <v>2.0000000000000002E-5</v>
      </c>
      <c r="AD75" s="120">
        <v>2.0000000000000002E-5</v>
      </c>
      <c r="AE75" s="120">
        <v>2.0000000000000002E-5</v>
      </c>
      <c r="AF75" s="120">
        <v>2.0000000000000002E-5</v>
      </c>
      <c r="AG75" s="120">
        <v>2.0000000000000002E-5</v>
      </c>
      <c r="AH75" s="120">
        <v>2.0000000000000002E-5</v>
      </c>
      <c r="AI75" s="120">
        <v>2.0000000000000002E-5</v>
      </c>
      <c r="AJ75" s="120">
        <v>2.0000000000000002E-5</v>
      </c>
      <c r="AK75" s="120">
        <v>2.0000000000000002E-5</v>
      </c>
      <c r="AL75" s="120">
        <v>2.0000000000000002E-5</v>
      </c>
      <c r="AM75" s="120">
        <v>2.0000000000000002E-5</v>
      </c>
      <c r="AN75" s="120">
        <v>2.0000000000000002E-5</v>
      </c>
      <c r="AO75" s="120">
        <v>2.0000000000000002E-5</v>
      </c>
      <c r="AP75" s="120">
        <v>2.0000000000000002E-5</v>
      </c>
      <c r="AQ75" s="120">
        <v>2.0000000000000002E-5</v>
      </c>
      <c r="AR75" s="120">
        <v>2.0000000000000002E-5</v>
      </c>
      <c r="AS75" s="120">
        <v>2.0000000000000002E-5</v>
      </c>
      <c r="AT75" s="120">
        <v>2.0000000000000002E-5</v>
      </c>
      <c r="AU75" s="120">
        <v>2.0000000000000002E-5</v>
      </c>
      <c r="AV75" s="120">
        <v>2.0000000000000002E-5</v>
      </c>
      <c r="AW75" s="120">
        <v>2.0000000000000002E-5</v>
      </c>
      <c r="AX75" s="120">
        <v>2.0000000000000002E-5</v>
      </c>
      <c r="AY75" s="120">
        <v>2.0000000000000002E-5</v>
      </c>
      <c r="AZ75" s="120">
        <v>2.0000000000000002E-5</v>
      </c>
      <c r="BA75" s="120">
        <v>2.0000000000000002E-5</v>
      </c>
      <c r="BB75" s="120">
        <v>2.0000000000000002E-5</v>
      </c>
      <c r="BC75" s="120">
        <v>2.0000000000000002E-5</v>
      </c>
      <c r="BD75" s="120">
        <v>2.0000000000000002E-5</v>
      </c>
      <c r="BE75" s="120">
        <v>2.0000000000000002E-5</v>
      </c>
      <c r="BF75" s="120">
        <v>2.0000000000000002E-5</v>
      </c>
    </row>
    <row r="76" spans="1:58">
      <c r="A76" s="125"/>
      <c r="B76" s="125"/>
      <c r="C76" s="126"/>
      <c r="D76" s="31" t="s">
        <v>139</v>
      </c>
      <c r="E76" s="11">
        <v>0.05</v>
      </c>
      <c r="F76" s="13"/>
      <c r="G76" s="13">
        <v>1</v>
      </c>
      <c r="H76" s="14">
        <f>'[1]2014-Unv-Plan-Cascaded'!K74</f>
        <v>0</v>
      </c>
      <c r="I76" s="51">
        <v>0</v>
      </c>
      <c r="J76" s="52">
        <v>1</v>
      </c>
      <c r="K76" s="53">
        <v>0.25</v>
      </c>
      <c r="L76" s="54">
        <v>0.2</v>
      </c>
      <c r="M76" s="54">
        <v>0.15</v>
      </c>
      <c r="N76" s="73">
        <v>0.15</v>
      </c>
      <c r="O76" s="73">
        <v>0.15</v>
      </c>
      <c r="P76" s="74">
        <v>0.1</v>
      </c>
      <c r="Q76" s="117"/>
      <c r="R76" s="117"/>
      <c r="S76" s="117">
        <v>3.0000000000000001E-3</v>
      </c>
      <c r="T76" s="117">
        <v>3.0000000000000001E-3</v>
      </c>
      <c r="U76" s="117">
        <v>3.0000000000000001E-3</v>
      </c>
      <c r="V76" s="117">
        <v>3.0000000000000001E-3</v>
      </c>
      <c r="W76" s="120">
        <v>1.0000000000000001E-5</v>
      </c>
      <c r="X76" s="120">
        <v>1.0000000000000001E-5</v>
      </c>
      <c r="Y76" s="120">
        <v>1.0000000000000001E-5</v>
      </c>
      <c r="Z76" s="120">
        <v>1.0000000000000001E-5</v>
      </c>
      <c r="AA76" s="120">
        <v>1.0000000000000001E-5</v>
      </c>
      <c r="AB76" s="120">
        <v>1.0000000000000001E-5</v>
      </c>
      <c r="AC76" s="120">
        <v>1.0000000000000001E-5</v>
      </c>
      <c r="AD76" s="120">
        <v>1.0000000000000001E-5</v>
      </c>
      <c r="AE76" s="120">
        <v>1.0000000000000001E-5</v>
      </c>
      <c r="AF76" s="120">
        <v>1.0000000000000001E-5</v>
      </c>
      <c r="AG76" s="120">
        <v>1.0000000000000001E-5</v>
      </c>
      <c r="AH76" s="120">
        <v>1.0000000000000001E-5</v>
      </c>
      <c r="AI76" s="120">
        <v>1.0000000000000001E-5</v>
      </c>
      <c r="AJ76" s="120">
        <v>1.0000000000000001E-5</v>
      </c>
      <c r="AK76" s="120">
        <v>1.0000000000000001E-5</v>
      </c>
      <c r="AL76" s="120">
        <v>1.0000000000000001E-5</v>
      </c>
      <c r="AM76" s="120">
        <v>1.0000000000000001E-5</v>
      </c>
      <c r="AN76" s="120">
        <v>1.0000000000000001E-5</v>
      </c>
      <c r="AO76" s="120">
        <v>1.0000000000000001E-5</v>
      </c>
      <c r="AP76" s="120">
        <v>1.0000000000000001E-5</v>
      </c>
      <c r="AQ76" s="120">
        <v>1.0000000000000001E-5</v>
      </c>
      <c r="AR76" s="120">
        <v>1.0000000000000001E-5</v>
      </c>
      <c r="AS76" s="120">
        <v>1.0000000000000001E-5</v>
      </c>
      <c r="AT76" s="120">
        <v>1.0000000000000001E-5</v>
      </c>
      <c r="AU76" s="120">
        <v>1.0000000000000001E-5</v>
      </c>
      <c r="AV76" s="120">
        <v>1.0000000000000001E-5</v>
      </c>
      <c r="AW76" s="120">
        <v>1.0000000000000001E-5</v>
      </c>
      <c r="AX76" s="120">
        <v>1.0000000000000001E-5</v>
      </c>
      <c r="AY76" s="120">
        <v>1.0000000000000001E-5</v>
      </c>
      <c r="AZ76" s="120">
        <v>1.0000000000000001E-5</v>
      </c>
      <c r="BA76" s="120">
        <v>1.0000000000000001E-5</v>
      </c>
      <c r="BB76" s="120">
        <v>1.0000000000000001E-5</v>
      </c>
      <c r="BC76" s="120">
        <v>1.0000000000000001E-5</v>
      </c>
      <c r="BD76" s="120">
        <v>1.0000000000000001E-5</v>
      </c>
      <c r="BE76" s="120">
        <v>1.0000000000000001E-5</v>
      </c>
      <c r="BF76" s="120">
        <v>1.0000000000000001E-5</v>
      </c>
    </row>
    <row r="77" spans="1:58">
      <c r="A77" s="125"/>
      <c r="B77" s="125"/>
      <c r="C77" s="124" t="s">
        <v>140</v>
      </c>
      <c r="D77" s="31" t="s">
        <v>137</v>
      </c>
      <c r="E77" s="11">
        <v>0.75</v>
      </c>
      <c r="F77" s="13"/>
      <c r="G77" s="13">
        <v>7</v>
      </c>
      <c r="H77" s="14">
        <f>'[1]2014-Unv-Plan-Cascaded'!K75</f>
        <v>0</v>
      </c>
      <c r="I77" s="51"/>
      <c r="J77" s="52">
        <v>0</v>
      </c>
      <c r="K77" s="53"/>
      <c r="L77" s="54"/>
      <c r="M77" s="54"/>
      <c r="N77" s="29"/>
      <c r="O77" s="29"/>
      <c r="P77" s="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</row>
    <row r="78" spans="1:58" ht="25.5">
      <c r="A78" s="125"/>
      <c r="B78" s="125"/>
      <c r="C78" s="125"/>
      <c r="D78" s="31" t="s">
        <v>138</v>
      </c>
      <c r="E78" s="11">
        <v>0.1</v>
      </c>
      <c r="F78" s="13"/>
      <c r="G78" s="13">
        <v>7</v>
      </c>
      <c r="H78" s="14">
        <f>'[1]2014-Unv-Plan-Cascaded'!K76</f>
        <v>0</v>
      </c>
      <c r="I78" s="51"/>
      <c r="J78" s="52">
        <v>0</v>
      </c>
      <c r="K78" s="53"/>
      <c r="L78" s="54"/>
      <c r="M78" s="54"/>
      <c r="N78" s="29"/>
      <c r="O78" s="29"/>
      <c r="P78" s="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</row>
    <row r="79" spans="1:58">
      <c r="A79" s="125"/>
      <c r="B79" s="125"/>
      <c r="C79" s="126"/>
      <c r="D79" s="31" t="s">
        <v>139</v>
      </c>
      <c r="E79" s="11">
        <v>0.05</v>
      </c>
      <c r="F79" s="13"/>
      <c r="G79" s="13">
        <v>7</v>
      </c>
      <c r="H79" s="14">
        <f>'[1]2014-Unv-Plan-Cascaded'!K77</f>
        <v>0</v>
      </c>
      <c r="I79" s="51"/>
      <c r="J79" s="52">
        <v>0</v>
      </c>
      <c r="K79" s="53"/>
      <c r="L79" s="54"/>
      <c r="M79" s="54"/>
      <c r="N79" s="29"/>
      <c r="O79" s="29"/>
      <c r="P79" s="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</row>
    <row r="80" spans="1:58">
      <c r="A80" s="125"/>
      <c r="B80" s="125"/>
      <c r="C80" s="124" t="s">
        <v>141</v>
      </c>
      <c r="D80" s="31" t="s">
        <v>137</v>
      </c>
      <c r="E80" s="11">
        <v>0.5</v>
      </c>
      <c r="F80" s="13"/>
      <c r="G80" s="13">
        <v>5</v>
      </c>
      <c r="H80" s="14">
        <f>'[1]2014-Unv-Plan-Cascaded'!K78</f>
        <v>0</v>
      </c>
      <c r="I80" s="51"/>
      <c r="J80" s="52">
        <v>0</v>
      </c>
      <c r="K80" s="53"/>
      <c r="L80" s="54"/>
      <c r="M80" s="54"/>
      <c r="N80" s="29"/>
      <c r="O80" s="29"/>
      <c r="P80" s="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117"/>
      <c r="BF80" s="117"/>
    </row>
    <row r="81" spans="1:58" ht="25.5">
      <c r="A81" s="125"/>
      <c r="B81" s="125"/>
      <c r="C81" s="125"/>
      <c r="D81" s="31" t="s">
        <v>138</v>
      </c>
      <c r="E81" s="11">
        <v>0.1</v>
      </c>
      <c r="F81" s="13"/>
      <c r="G81" s="13">
        <v>5</v>
      </c>
      <c r="H81" s="14">
        <f>'[1]2014-Unv-Plan-Cascaded'!K79</f>
        <v>0</v>
      </c>
      <c r="I81" s="51"/>
      <c r="J81" s="52">
        <v>0</v>
      </c>
      <c r="K81" s="53"/>
      <c r="L81" s="54"/>
      <c r="M81" s="54"/>
      <c r="N81" s="29"/>
      <c r="O81" s="29"/>
      <c r="P81" s="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</row>
    <row r="82" spans="1:58">
      <c r="A82" s="125"/>
      <c r="B82" s="125"/>
      <c r="C82" s="126"/>
      <c r="D82" s="31" t="s">
        <v>139</v>
      </c>
      <c r="E82" s="11">
        <v>0.05</v>
      </c>
      <c r="F82" s="13"/>
      <c r="G82" s="13">
        <v>5</v>
      </c>
      <c r="H82" s="14">
        <f>'[1]2014-Unv-Plan-Cascaded'!K80</f>
        <v>0.2</v>
      </c>
      <c r="I82" s="51"/>
      <c r="J82" s="52">
        <v>0</v>
      </c>
      <c r="K82" s="53"/>
      <c r="L82" s="54"/>
      <c r="M82" s="54"/>
      <c r="N82" s="29"/>
      <c r="O82" s="29"/>
      <c r="P82" s="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</row>
    <row r="83" spans="1:58">
      <c r="A83" s="125"/>
      <c r="B83" s="125"/>
      <c r="C83" s="124" t="s">
        <v>142</v>
      </c>
      <c r="D83" s="31" t="s">
        <v>137</v>
      </c>
      <c r="E83" s="11">
        <v>0.75</v>
      </c>
      <c r="F83" s="13"/>
      <c r="G83" s="13">
        <v>18</v>
      </c>
      <c r="H83" s="14">
        <f>'[1]2014-Unv-Plan-Cascaded'!K81</f>
        <v>0.15</v>
      </c>
      <c r="I83" s="51">
        <v>0.05</v>
      </c>
      <c r="J83" s="52">
        <v>0.05</v>
      </c>
      <c r="K83" s="53">
        <v>0.01</v>
      </c>
      <c r="L83" s="54">
        <v>0.01</v>
      </c>
      <c r="M83" s="54">
        <v>0.01</v>
      </c>
      <c r="N83" s="73">
        <v>0.01</v>
      </c>
      <c r="O83" s="73">
        <v>0.01</v>
      </c>
      <c r="P83" s="17"/>
      <c r="Q83" s="117"/>
      <c r="R83" s="117"/>
      <c r="S83" s="117">
        <v>4.5999999999999999E-2</v>
      </c>
      <c r="T83" s="117">
        <v>4.5999999999999999E-2</v>
      </c>
      <c r="U83" s="117">
        <v>4.5999999999999999E-2</v>
      </c>
      <c r="V83" s="117">
        <v>4.5999999999999999E-2</v>
      </c>
      <c r="W83" s="120">
        <v>1.4999999999999999E-4</v>
      </c>
      <c r="X83" s="120">
        <v>1.4999999999999999E-4</v>
      </c>
      <c r="Y83" s="120">
        <v>1.4999999999999999E-4</v>
      </c>
      <c r="Z83" s="120">
        <v>1.4999999999999999E-4</v>
      </c>
      <c r="AA83" s="120">
        <v>1.4999999999999999E-4</v>
      </c>
      <c r="AB83" s="120">
        <v>1.4999999999999999E-4</v>
      </c>
      <c r="AC83" s="120">
        <v>1.4999999999999999E-4</v>
      </c>
      <c r="AD83" s="120">
        <v>1.4999999999999999E-4</v>
      </c>
      <c r="AE83" s="120">
        <v>1.4999999999999999E-4</v>
      </c>
      <c r="AF83" s="120">
        <v>1.4999999999999999E-4</v>
      </c>
      <c r="AG83" s="120">
        <v>1.4999999999999999E-4</v>
      </c>
      <c r="AH83" s="120">
        <v>1.4999999999999999E-4</v>
      </c>
      <c r="AI83" s="120">
        <v>1.4999999999999999E-4</v>
      </c>
      <c r="AJ83" s="120">
        <v>1.4999999999999999E-4</v>
      </c>
      <c r="AK83" s="120">
        <v>1.4999999999999999E-4</v>
      </c>
      <c r="AL83" s="120">
        <v>1.4999999999999999E-4</v>
      </c>
      <c r="AM83" s="120">
        <v>1.4999999999999999E-4</v>
      </c>
      <c r="AN83" s="120">
        <v>1.4999999999999999E-4</v>
      </c>
      <c r="AO83" s="120">
        <v>1.4999999999999999E-4</v>
      </c>
      <c r="AP83" s="120">
        <v>1.4999999999999999E-4</v>
      </c>
      <c r="AQ83" s="120">
        <v>1.4999999999999999E-4</v>
      </c>
      <c r="AR83" s="120">
        <v>1.4999999999999999E-4</v>
      </c>
      <c r="AS83" s="120">
        <v>1.4999999999999999E-4</v>
      </c>
      <c r="AT83" s="120">
        <v>1.4999999999999999E-4</v>
      </c>
      <c r="AU83" s="120">
        <v>1.4999999999999999E-4</v>
      </c>
      <c r="AV83" s="120">
        <v>1.4999999999999999E-4</v>
      </c>
      <c r="AW83" s="120">
        <v>1.4999999999999999E-4</v>
      </c>
      <c r="AX83" s="120">
        <v>1.4999999999999999E-4</v>
      </c>
      <c r="AY83" s="120">
        <v>1.4999999999999999E-4</v>
      </c>
      <c r="AZ83" s="120">
        <v>1.4999999999999999E-4</v>
      </c>
      <c r="BA83" s="120">
        <v>1.4999999999999999E-4</v>
      </c>
      <c r="BB83" s="120">
        <v>1.4999999999999999E-4</v>
      </c>
      <c r="BC83" s="120">
        <v>1.4999999999999999E-4</v>
      </c>
      <c r="BD83" s="120">
        <v>1.4999999999999999E-4</v>
      </c>
      <c r="BE83" s="120">
        <v>1.4999999999999999E-4</v>
      </c>
      <c r="BF83" s="120">
        <v>1.4999999999999999E-4</v>
      </c>
    </row>
    <row r="84" spans="1:58" ht="25.5">
      <c r="A84" s="125"/>
      <c r="B84" s="125"/>
      <c r="C84" s="125"/>
      <c r="D84" s="31" t="s">
        <v>138</v>
      </c>
      <c r="E84" s="11">
        <v>0.1</v>
      </c>
      <c r="F84" s="13"/>
      <c r="G84" s="13">
        <v>18</v>
      </c>
      <c r="H84" s="14">
        <f>'[1]2014-Unv-Plan-Cascaded'!K82</f>
        <v>0.2</v>
      </c>
      <c r="I84" s="51">
        <v>0.02</v>
      </c>
      <c r="J84" s="52">
        <v>0.05</v>
      </c>
      <c r="K84" s="53">
        <v>0.01</v>
      </c>
      <c r="L84" s="54">
        <v>0.01</v>
      </c>
      <c r="M84" s="54">
        <v>0.01</v>
      </c>
      <c r="N84" s="73">
        <v>0.01</v>
      </c>
      <c r="O84" s="73">
        <v>0.01</v>
      </c>
      <c r="P84" s="17"/>
      <c r="Q84" s="117"/>
      <c r="R84" s="117"/>
      <c r="S84" s="117">
        <v>1.2500000000000001E-2</v>
      </c>
      <c r="T84" s="117">
        <v>1.2500000000000001E-2</v>
      </c>
      <c r="U84" s="117">
        <v>1.2500000000000001E-2</v>
      </c>
      <c r="V84" s="117">
        <v>1.2500000000000001E-2</v>
      </c>
      <c r="W84" s="118"/>
      <c r="X84" s="118"/>
      <c r="Y84" s="118"/>
      <c r="Z84" s="117"/>
      <c r="AA84" s="117"/>
      <c r="AB84" s="117"/>
      <c r="AC84" s="117"/>
      <c r="AD84" s="117"/>
      <c r="AE84" s="117"/>
      <c r="AF84" s="117"/>
      <c r="AG84" s="117"/>
      <c r="AH84" s="118"/>
      <c r="AI84" s="118"/>
      <c r="AJ84" s="118"/>
      <c r="AK84" s="118"/>
      <c r="AL84" s="117"/>
      <c r="AM84" s="117"/>
      <c r="AN84" s="117"/>
      <c r="AO84" s="117"/>
      <c r="AP84" s="117"/>
      <c r="AQ84" s="117"/>
      <c r="AR84" s="117"/>
      <c r="AS84" s="117"/>
      <c r="AT84" s="118"/>
      <c r="AU84" s="120">
        <v>4.0000000000000003E-5</v>
      </c>
      <c r="AV84" s="120">
        <v>4.0000000000000003E-5</v>
      </c>
      <c r="AW84" s="120">
        <v>4.0000000000000003E-5</v>
      </c>
      <c r="AX84" s="120">
        <v>4.0000000000000003E-5</v>
      </c>
      <c r="AY84" s="120">
        <v>4.0000000000000003E-5</v>
      </c>
      <c r="AZ84" s="120">
        <v>4.0000000000000003E-5</v>
      </c>
      <c r="BA84" s="120">
        <v>4.0000000000000003E-5</v>
      </c>
      <c r="BB84" s="120">
        <v>4.0000000000000003E-5</v>
      </c>
      <c r="BC84" s="120">
        <v>4.0000000000000003E-5</v>
      </c>
      <c r="BD84" s="120">
        <v>4.0000000000000003E-5</v>
      </c>
      <c r="BE84" s="120">
        <v>4.0000000000000003E-5</v>
      </c>
      <c r="BF84" s="120">
        <v>4.0000000000000003E-5</v>
      </c>
    </row>
    <row r="85" spans="1:58">
      <c r="A85" s="125"/>
      <c r="B85" s="126"/>
      <c r="C85" s="126"/>
      <c r="D85" s="31" t="s">
        <v>139</v>
      </c>
      <c r="E85" s="11">
        <v>0.05</v>
      </c>
      <c r="F85" s="13"/>
      <c r="G85" s="13">
        <v>18</v>
      </c>
      <c r="H85" s="14">
        <f>'[1]2014-Unv-Plan-Cascaded'!K83</f>
        <v>0.2</v>
      </c>
      <c r="I85" s="51">
        <f>I83</f>
        <v>0.05</v>
      </c>
      <c r="J85" s="52">
        <f>J83</f>
        <v>0.05</v>
      </c>
      <c r="K85" s="53">
        <f>K83</f>
        <v>0.01</v>
      </c>
      <c r="L85" s="54">
        <v>0.01</v>
      </c>
      <c r="M85" s="54">
        <v>0.01</v>
      </c>
      <c r="N85" s="79">
        <v>0.01</v>
      </c>
      <c r="O85" s="79">
        <v>0.01</v>
      </c>
      <c r="P85" s="17"/>
      <c r="Q85" s="117"/>
      <c r="R85" s="117"/>
      <c r="S85" s="117">
        <v>3.0000000000000001E-3</v>
      </c>
      <c r="T85" s="117">
        <v>3.0000000000000001E-3</v>
      </c>
      <c r="U85" s="117">
        <v>3.0000000000000001E-3</v>
      </c>
      <c r="V85" s="117">
        <v>3.0000000000000001E-3</v>
      </c>
      <c r="W85" s="120">
        <v>1.0000000000000001E-5</v>
      </c>
      <c r="X85" s="120">
        <v>1.0000000000000001E-5</v>
      </c>
      <c r="Y85" s="120">
        <v>1.0000000000000001E-5</v>
      </c>
      <c r="Z85" s="120">
        <v>1.0000000000000001E-5</v>
      </c>
      <c r="AA85" s="120">
        <v>1.0000000000000001E-5</v>
      </c>
      <c r="AB85" s="120">
        <v>1.0000000000000001E-5</v>
      </c>
      <c r="AC85" s="120">
        <v>1.0000000000000001E-5</v>
      </c>
      <c r="AD85" s="120">
        <v>1.0000000000000001E-5</v>
      </c>
      <c r="AE85" s="120">
        <v>1.0000000000000001E-5</v>
      </c>
      <c r="AF85" s="120">
        <v>1.0000000000000001E-5</v>
      </c>
      <c r="AG85" s="120">
        <v>1.0000000000000001E-5</v>
      </c>
      <c r="AH85" s="120">
        <v>1.0000000000000001E-5</v>
      </c>
      <c r="AI85" s="120">
        <v>1.0000000000000001E-5</v>
      </c>
      <c r="AJ85" s="120">
        <v>1.0000000000000001E-5</v>
      </c>
      <c r="AK85" s="120">
        <v>1.0000000000000001E-5</v>
      </c>
      <c r="AL85" s="120">
        <v>1.0000000000000001E-5</v>
      </c>
      <c r="AM85" s="120">
        <v>1.0000000000000001E-5</v>
      </c>
      <c r="AN85" s="120">
        <v>1.0000000000000001E-5</v>
      </c>
      <c r="AO85" s="120">
        <v>1.0000000000000001E-5</v>
      </c>
      <c r="AP85" s="120">
        <v>1.0000000000000001E-5</v>
      </c>
      <c r="AQ85" s="120">
        <v>1.0000000000000001E-5</v>
      </c>
      <c r="AR85" s="120">
        <v>1.0000000000000001E-5</v>
      </c>
      <c r="AS85" s="120">
        <v>1.0000000000000001E-5</v>
      </c>
      <c r="AT85" s="120">
        <v>1.0000000000000001E-5</v>
      </c>
      <c r="AU85" s="120">
        <v>1.0000000000000001E-5</v>
      </c>
      <c r="AV85" s="120">
        <v>1.0000000000000001E-5</v>
      </c>
      <c r="AW85" s="120">
        <v>1.0000000000000001E-5</v>
      </c>
      <c r="AX85" s="120">
        <v>1.0000000000000001E-5</v>
      </c>
      <c r="AY85" s="120">
        <v>1.0000000000000001E-5</v>
      </c>
      <c r="AZ85" s="120">
        <v>1.0000000000000001E-5</v>
      </c>
      <c r="BA85" s="120">
        <v>1.0000000000000001E-5</v>
      </c>
      <c r="BB85" s="120">
        <v>1.0000000000000001E-5</v>
      </c>
      <c r="BC85" s="120">
        <v>1.0000000000000001E-5</v>
      </c>
      <c r="BD85" s="120">
        <v>1.0000000000000001E-5</v>
      </c>
      <c r="BE85" s="120">
        <v>1.0000000000000001E-5</v>
      </c>
      <c r="BF85" s="120">
        <v>1.0000000000000001E-5</v>
      </c>
    </row>
    <row r="86" spans="1:58" ht="38.25">
      <c r="A86" s="125"/>
      <c r="B86" s="80"/>
      <c r="C86" s="130" t="s">
        <v>143</v>
      </c>
      <c r="D86" s="81" t="s">
        <v>144</v>
      </c>
      <c r="E86" s="82">
        <v>0.3</v>
      </c>
      <c r="F86" s="13"/>
      <c r="G86" s="14">
        <v>0.7</v>
      </c>
      <c r="H86" s="14">
        <f>'[1]2014-Unv-Plan-Cascaded'!K84</f>
        <v>0</v>
      </c>
      <c r="I86" s="51">
        <v>0.05</v>
      </c>
      <c r="J86" s="52">
        <v>0.05</v>
      </c>
      <c r="K86" s="53">
        <v>1.2500000000000001E-2</v>
      </c>
      <c r="L86" s="54">
        <v>0.01</v>
      </c>
      <c r="M86" s="54">
        <v>0.01</v>
      </c>
      <c r="N86" s="73">
        <v>0.01</v>
      </c>
      <c r="O86" s="73">
        <v>0.01</v>
      </c>
      <c r="P86" s="17"/>
      <c r="Q86" s="117"/>
      <c r="R86" s="117"/>
      <c r="S86" s="117">
        <v>1.7999999999999999E-2</v>
      </c>
      <c r="T86" s="117">
        <v>1.7999999999999999E-2</v>
      </c>
      <c r="U86" s="117">
        <v>1.7999999999999999E-2</v>
      </c>
      <c r="V86" s="117">
        <v>1.7999999999999999E-2</v>
      </c>
      <c r="W86" s="120">
        <v>6.0000000000000002E-5</v>
      </c>
      <c r="X86" s="120">
        <v>6.0000000000000002E-5</v>
      </c>
      <c r="Y86" s="120">
        <v>6.0000000000000002E-5</v>
      </c>
      <c r="Z86" s="120">
        <v>6.0000000000000002E-5</v>
      </c>
      <c r="AA86" s="120">
        <v>6.0000000000000002E-5</v>
      </c>
      <c r="AB86" s="120">
        <v>6.0000000000000002E-5</v>
      </c>
      <c r="AC86" s="120">
        <v>6.0000000000000002E-5</v>
      </c>
      <c r="AD86" s="120">
        <v>6.0000000000000002E-5</v>
      </c>
      <c r="AE86" s="120">
        <v>6.0000000000000002E-5</v>
      </c>
      <c r="AF86" s="120">
        <v>6.0000000000000002E-5</v>
      </c>
      <c r="AG86" s="120">
        <v>6.0000000000000002E-5</v>
      </c>
      <c r="AH86" s="120">
        <v>6.0000000000000002E-5</v>
      </c>
      <c r="AI86" s="120">
        <v>6.0000000000000002E-5</v>
      </c>
      <c r="AJ86" s="120">
        <v>6.0000000000000002E-5</v>
      </c>
      <c r="AK86" s="120">
        <v>6.0000000000000002E-5</v>
      </c>
      <c r="AL86" s="120">
        <v>6.0000000000000002E-5</v>
      </c>
      <c r="AM86" s="120">
        <v>6.0000000000000002E-5</v>
      </c>
      <c r="AN86" s="120">
        <v>6.0000000000000002E-5</v>
      </c>
      <c r="AO86" s="120">
        <v>6.0000000000000002E-5</v>
      </c>
      <c r="AP86" s="120">
        <v>6.0000000000000002E-5</v>
      </c>
      <c r="AQ86" s="120">
        <v>6.0000000000000002E-5</v>
      </c>
      <c r="AR86" s="120">
        <v>6.0000000000000002E-5</v>
      </c>
      <c r="AS86" s="120">
        <v>6.0000000000000002E-5</v>
      </c>
      <c r="AT86" s="120">
        <v>6.0000000000000002E-5</v>
      </c>
      <c r="AU86" s="120">
        <v>6.0000000000000002E-5</v>
      </c>
      <c r="AV86" s="120">
        <v>6.0000000000000002E-5</v>
      </c>
      <c r="AW86" s="120">
        <v>6.0000000000000002E-5</v>
      </c>
      <c r="AX86" s="120">
        <v>6.0000000000000002E-5</v>
      </c>
      <c r="AY86" s="120">
        <v>6.0000000000000002E-5</v>
      </c>
      <c r="AZ86" s="120">
        <v>6.0000000000000002E-5</v>
      </c>
      <c r="BA86" s="120">
        <v>6.0000000000000002E-5</v>
      </c>
      <c r="BB86" s="120">
        <v>6.0000000000000002E-5</v>
      </c>
      <c r="BC86" s="120">
        <v>6.0000000000000002E-5</v>
      </c>
      <c r="BD86" s="120">
        <v>6.0000000000000002E-5</v>
      </c>
      <c r="BE86" s="120">
        <v>6.0000000000000002E-5</v>
      </c>
      <c r="BF86" s="120">
        <v>6.0000000000000002E-5</v>
      </c>
    </row>
    <row r="87" spans="1:58" ht="38.25">
      <c r="A87" s="125"/>
      <c r="B87" s="80"/>
      <c r="C87" s="125"/>
      <c r="D87" s="81" t="s">
        <v>145</v>
      </c>
      <c r="E87" s="82">
        <v>0.1</v>
      </c>
      <c r="F87" s="13"/>
      <c r="G87" s="14">
        <v>0.05</v>
      </c>
      <c r="H87" s="14">
        <f>'[1]2014-Unv-Plan-Cascaded'!K85</f>
        <v>0.2</v>
      </c>
      <c r="I87" s="51"/>
      <c r="J87" s="52">
        <v>0</v>
      </c>
      <c r="K87" s="53"/>
      <c r="L87" s="54"/>
      <c r="M87" s="54"/>
      <c r="N87" s="29"/>
      <c r="O87" s="29"/>
      <c r="P87" s="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</row>
    <row r="88" spans="1:58" ht="25.5">
      <c r="A88" s="125"/>
      <c r="B88" s="124" t="s">
        <v>146</v>
      </c>
      <c r="C88" s="125"/>
      <c r="D88" s="31" t="s">
        <v>147</v>
      </c>
      <c r="E88" s="11">
        <v>0</v>
      </c>
      <c r="F88" s="13"/>
      <c r="G88" s="13">
        <v>0</v>
      </c>
      <c r="H88" s="14">
        <f>'[1]2014-Unv-Plan-Cascaded'!K86</f>
        <v>0</v>
      </c>
      <c r="I88" s="51"/>
      <c r="J88" s="52">
        <v>0</v>
      </c>
      <c r="K88" s="53"/>
      <c r="L88" s="54"/>
      <c r="M88" s="54"/>
      <c r="N88" s="29"/>
      <c r="O88" s="29"/>
      <c r="P88" s="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</row>
    <row r="89" spans="1:58">
      <c r="A89" s="125"/>
      <c r="B89" s="126"/>
      <c r="C89" s="126"/>
      <c r="D89" s="31" t="s">
        <v>148</v>
      </c>
      <c r="E89" s="11">
        <v>0</v>
      </c>
      <c r="F89" s="13"/>
      <c r="G89" s="13">
        <v>0</v>
      </c>
      <c r="H89" s="14">
        <f>'[1]2014-Unv-Plan-Cascaded'!K87</f>
        <v>0.1</v>
      </c>
      <c r="I89" s="51"/>
      <c r="J89" s="52">
        <v>0</v>
      </c>
      <c r="K89" s="53"/>
      <c r="L89" s="54"/>
      <c r="M89" s="54"/>
      <c r="N89" s="29"/>
      <c r="O89" s="29"/>
      <c r="P89" s="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</row>
    <row r="90" spans="1:58">
      <c r="A90" s="125"/>
      <c r="B90" s="130" t="s">
        <v>149</v>
      </c>
      <c r="C90" s="130" t="s">
        <v>150</v>
      </c>
      <c r="D90" s="31" t="s">
        <v>151</v>
      </c>
      <c r="E90" s="11">
        <v>0.5</v>
      </c>
      <c r="F90" s="13"/>
      <c r="G90" s="13">
        <v>18</v>
      </c>
      <c r="H90" s="14">
        <f>'[1]2014-Unv-Plan-Cascaded'!K88</f>
        <v>0.1</v>
      </c>
      <c r="I90" s="51">
        <v>0.02</v>
      </c>
      <c r="J90" s="52">
        <v>0.03</v>
      </c>
      <c r="K90" s="75">
        <v>4.0000000000000001E-3</v>
      </c>
      <c r="L90" s="75">
        <v>4.0000000000000001E-3</v>
      </c>
      <c r="M90" s="75">
        <v>4.0000000000000001E-3</v>
      </c>
      <c r="N90" s="75">
        <v>4.0000000000000001E-3</v>
      </c>
      <c r="O90" s="75">
        <v>4.0000000000000001E-3</v>
      </c>
      <c r="P90" s="83">
        <v>0.01</v>
      </c>
      <c r="Q90" s="117"/>
      <c r="R90" s="117"/>
      <c r="S90" s="118">
        <v>3.1E-4</v>
      </c>
      <c r="T90" s="118">
        <v>3.1E-4</v>
      </c>
      <c r="U90" s="118">
        <v>3.1E-4</v>
      </c>
      <c r="V90" s="118">
        <v>3.1E-4</v>
      </c>
      <c r="W90" s="118">
        <v>1E-4</v>
      </c>
      <c r="X90" s="118">
        <v>1E-4</v>
      </c>
      <c r="Y90" s="118">
        <v>1E-4</v>
      </c>
      <c r="Z90" s="118">
        <v>1E-4</v>
      </c>
      <c r="AA90" s="118">
        <v>1E-4</v>
      </c>
      <c r="AB90" s="118">
        <v>1E-4</v>
      </c>
      <c r="AC90" s="118">
        <v>1E-4</v>
      </c>
      <c r="AD90" s="118">
        <v>1E-4</v>
      </c>
      <c r="AE90" s="118">
        <v>1E-4</v>
      </c>
      <c r="AF90" s="118">
        <v>1E-4</v>
      </c>
      <c r="AG90" s="118">
        <v>1E-4</v>
      </c>
      <c r="AH90" s="118">
        <v>1E-4</v>
      </c>
      <c r="AI90" s="118">
        <v>1E-4</v>
      </c>
      <c r="AJ90" s="118">
        <v>1E-4</v>
      </c>
      <c r="AK90" s="118">
        <v>1E-4</v>
      </c>
      <c r="AL90" s="118">
        <v>1E-4</v>
      </c>
      <c r="AM90" s="118">
        <v>1E-4</v>
      </c>
      <c r="AN90" s="118">
        <v>1E-4</v>
      </c>
      <c r="AO90" s="118">
        <v>1E-4</v>
      </c>
      <c r="AP90" s="118">
        <v>1E-4</v>
      </c>
      <c r="AQ90" s="118">
        <v>1E-4</v>
      </c>
      <c r="AR90" s="118">
        <v>1E-4</v>
      </c>
      <c r="AS90" s="118">
        <v>1E-4</v>
      </c>
      <c r="AT90" s="118">
        <v>1E-4</v>
      </c>
      <c r="AU90" s="118">
        <v>1E-4</v>
      </c>
      <c r="AV90" s="118">
        <v>1E-4</v>
      </c>
      <c r="AW90" s="118">
        <v>1E-4</v>
      </c>
      <c r="AX90" s="118">
        <v>1E-4</v>
      </c>
      <c r="AY90" s="118">
        <v>1E-4</v>
      </c>
      <c r="AZ90" s="118">
        <v>1E-4</v>
      </c>
      <c r="BA90" s="118">
        <v>1E-4</v>
      </c>
      <c r="BB90" s="118">
        <v>1E-4</v>
      </c>
      <c r="BC90" s="118">
        <v>1E-4</v>
      </c>
      <c r="BD90" s="118">
        <v>1E-4</v>
      </c>
      <c r="BE90" s="118">
        <v>1E-4</v>
      </c>
      <c r="BF90" s="118">
        <v>1E-4</v>
      </c>
    </row>
    <row r="91" spans="1:58">
      <c r="A91" s="126"/>
      <c r="B91" s="126"/>
      <c r="C91" s="126"/>
      <c r="D91" s="31" t="s">
        <v>152</v>
      </c>
      <c r="E91" s="11">
        <v>2.25</v>
      </c>
      <c r="F91" s="13"/>
      <c r="G91" s="14">
        <v>0.9</v>
      </c>
      <c r="H91" s="14">
        <f>'[1]2014-Unv-Plan-Cascaded'!K89</f>
        <v>0</v>
      </c>
      <c r="I91" s="51">
        <v>0.02</v>
      </c>
      <c r="J91" s="52">
        <v>0.03</v>
      </c>
      <c r="K91" s="75">
        <v>4.0000000000000001E-3</v>
      </c>
      <c r="L91" s="75">
        <v>4.0000000000000001E-3</v>
      </c>
      <c r="M91" s="75">
        <v>4.0000000000000001E-3</v>
      </c>
      <c r="N91" s="75">
        <v>4.0000000000000001E-3</v>
      </c>
      <c r="O91" s="75">
        <v>4.0000000000000001E-3</v>
      </c>
      <c r="P91" s="49">
        <v>0.01</v>
      </c>
      <c r="Q91" s="117"/>
      <c r="R91" s="117"/>
      <c r="S91" s="117">
        <v>0.14000000000000001</v>
      </c>
      <c r="T91" s="117">
        <v>0.14000000000000001</v>
      </c>
      <c r="U91" s="117">
        <v>0.14000000000000001</v>
      </c>
      <c r="V91" s="117">
        <v>0.14000000000000001</v>
      </c>
      <c r="W91" s="120">
        <v>4.6000000000000001E-4</v>
      </c>
      <c r="X91" s="120">
        <v>4.6000000000000001E-4</v>
      </c>
      <c r="Y91" s="120">
        <v>4.6000000000000001E-4</v>
      </c>
      <c r="Z91" s="120">
        <v>4.6000000000000001E-4</v>
      </c>
      <c r="AA91" s="120">
        <v>4.6000000000000001E-4</v>
      </c>
      <c r="AB91" s="120">
        <v>4.6000000000000001E-4</v>
      </c>
      <c r="AC91" s="120">
        <v>4.6000000000000001E-4</v>
      </c>
      <c r="AD91" s="120">
        <v>4.6000000000000001E-4</v>
      </c>
      <c r="AE91" s="120">
        <v>4.6000000000000001E-4</v>
      </c>
      <c r="AF91" s="120">
        <v>4.6000000000000001E-4</v>
      </c>
      <c r="AG91" s="120">
        <v>4.6000000000000001E-4</v>
      </c>
      <c r="AH91" s="120">
        <v>4.6000000000000001E-4</v>
      </c>
      <c r="AI91" s="120">
        <v>4.6000000000000001E-4</v>
      </c>
      <c r="AJ91" s="120">
        <v>4.6000000000000001E-4</v>
      </c>
      <c r="AK91" s="120">
        <v>4.6000000000000001E-4</v>
      </c>
      <c r="AL91" s="120">
        <v>4.6000000000000001E-4</v>
      </c>
      <c r="AM91" s="120">
        <v>4.6000000000000001E-4</v>
      </c>
      <c r="AN91" s="120">
        <v>4.6000000000000001E-4</v>
      </c>
      <c r="AO91" s="120">
        <v>4.6000000000000001E-4</v>
      </c>
      <c r="AP91" s="120">
        <v>4.6000000000000001E-4</v>
      </c>
      <c r="AQ91" s="120">
        <v>4.6000000000000001E-4</v>
      </c>
      <c r="AR91" s="120">
        <v>4.6000000000000001E-4</v>
      </c>
      <c r="AS91" s="120">
        <v>4.6000000000000001E-4</v>
      </c>
      <c r="AT91" s="120">
        <v>4.6000000000000001E-4</v>
      </c>
      <c r="AU91" s="120">
        <v>4.6000000000000001E-4</v>
      </c>
      <c r="AV91" s="120">
        <v>4.6000000000000001E-4</v>
      </c>
      <c r="AW91" s="120">
        <v>4.6000000000000001E-4</v>
      </c>
      <c r="AX91" s="120">
        <v>4.6000000000000001E-4</v>
      </c>
      <c r="AY91" s="120">
        <v>4.6000000000000001E-4</v>
      </c>
      <c r="AZ91" s="120">
        <v>4.6000000000000001E-4</v>
      </c>
      <c r="BA91" s="120">
        <v>4.6000000000000001E-4</v>
      </c>
      <c r="BB91" s="120">
        <v>4.6000000000000001E-4</v>
      </c>
      <c r="BC91" s="120">
        <v>4.6000000000000001E-4</v>
      </c>
      <c r="BD91" s="120">
        <v>4.6000000000000001E-4</v>
      </c>
      <c r="BE91" s="120">
        <v>4.6000000000000001E-4</v>
      </c>
      <c r="BF91" s="120">
        <v>4.6000000000000001E-4</v>
      </c>
    </row>
    <row r="92" spans="1:58" ht="25.5">
      <c r="A92" s="124" t="s">
        <v>153</v>
      </c>
      <c r="B92" s="124" t="s">
        <v>154</v>
      </c>
      <c r="C92" s="124" t="s">
        <v>155</v>
      </c>
      <c r="D92" s="10" t="s">
        <v>156</v>
      </c>
      <c r="E92" s="11">
        <v>0.4</v>
      </c>
      <c r="F92" s="13"/>
      <c r="G92" s="13">
        <v>25</v>
      </c>
      <c r="H92" s="14">
        <f>'[1]2014-Unv-Plan-Cascaded'!K90</f>
        <v>0</v>
      </c>
      <c r="I92" s="33"/>
      <c r="J92" s="34">
        <v>0</v>
      </c>
      <c r="K92" s="35"/>
      <c r="L92" s="36"/>
      <c r="M92" s="36"/>
      <c r="N92" s="29"/>
      <c r="O92" s="29"/>
      <c r="P92" s="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</row>
    <row r="93" spans="1:58" ht="25.5">
      <c r="A93" s="125"/>
      <c r="B93" s="125"/>
      <c r="C93" s="126"/>
      <c r="D93" s="10" t="s">
        <v>157</v>
      </c>
      <c r="E93" s="11">
        <v>0.4</v>
      </c>
      <c r="F93" s="13"/>
      <c r="G93" s="13">
        <v>8</v>
      </c>
      <c r="H93" s="14">
        <f>'[1]2014-Unv-Plan-Cascaded'!K91</f>
        <v>0</v>
      </c>
      <c r="I93" s="33"/>
      <c r="J93" s="34">
        <v>0</v>
      </c>
      <c r="K93" s="35"/>
      <c r="L93" s="36"/>
      <c r="M93" s="36"/>
      <c r="N93" s="29"/>
      <c r="O93" s="29"/>
      <c r="P93" s="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</row>
    <row r="94" spans="1:58">
      <c r="A94" s="125"/>
      <c r="B94" s="125"/>
      <c r="C94" s="124" t="s">
        <v>158</v>
      </c>
      <c r="D94" s="10" t="s">
        <v>159</v>
      </c>
      <c r="E94" s="11">
        <v>0.2</v>
      </c>
      <c r="F94" s="13"/>
      <c r="G94" s="13">
        <v>105</v>
      </c>
      <c r="H94" s="14">
        <f>'[1]2014-Unv-Plan-Cascaded'!K92</f>
        <v>0</v>
      </c>
      <c r="I94" s="33"/>
      <c r="J94" s="34">
        <v>0</v>
      </c>
      <c r="K94" s="35"/>
      <c r="L94" s="36"/>
      <c r="M94" s="36"/>
      <c r="N94" s="29"/>
      <c r="O94" s="29"/>
      <c r="P94" s="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</row>
    <row r="95" spans="1:58">
      <c r="A95" s="125"/>
      <c r="B95" s="125"/>
      <c r="C95" s="125"/>
      <c r="D95" s="10" t="s">
        <v>160</v>
      </c>
      <c r="E95" s="11">
        <v>0.4</v>
      </c>
      <c r="F95" s="13"/>
      <c r="G95" s="13"/>
      <c r="H95" s="14">
        <f>'[1]2014-Unv-Plan-Cascaded'!K93</f>
        <v>0</v>
      </c>
      <c r="I95" s="33"/>
      <c r="J95" s="34">
        <v>0</v>
      </c>
      <c r="K95" s="35"/>
      <c r="L95" s="36"/>
      <c r="M95" s="36"/>
      <c r="N95" s="29"/>
      <c r="O95" s="29"/>
      <c r="P95" s="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</row>
    <row r="96" spans="1:58">
      <c r="A96" s="125"/>
      <c r="B96" s="126"/>
      <c r="C96" s="126"/>
      <c r="D96" s="31" t="s">
        <v>161</v>
      </c>
      <c r="E96" s="11">
        <v>0.4</v>
      </c>
      <c r="F96" s="13"/>
      <c r="G96" s="14">
        <v>1</v>
      </c>
      <c r="H96" s="14">
        <f>'[1]2014-Unv-Plan-Cascaded'!K94</f>
        <v>0</v>
      </c>
      <c r="I96" s="33"/>
      <c r="J96" s="34">
        <v>0</v>
      </c>
      <c r="K96" s="35"/>
      <c r="L96" s="36"/>
      <c r="M96" s="36"/>
      <c r="N96" s="29"/>
      <c r="O96" s="29"/>
      <c r="P96" s="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</row>
    <row r="97" spans="1:58" ht="25.5">
      <c r="A97" s="125"/>
      <c r="B97" s="124" t="s">
        <v>162</v>
      </c>
      <c r="C97" s="124" t="s">
        <v>163</v>
      </c>
      <c r="D97" s="10" t="s">
        <v>156</v>
      </c>
      <c r="E97" s="11">
        <v>0.1</v>
      </c>
      <c r="F97" s="13"/>
      <c r="G97" s="13">
        <v>10</v>
      </c>
      <c r="H97" s="14">
        <f>'[1]2014-Unv-Plan-Cascaded'!K95</f>
        <v>0</v>
      </c>
      <c r="I97" s="33"/>
      <c r="J97" s="34">
        <v>0</v>
      </c>
      <c r="K97" s="35"/>
      <c r="L97" s="36"/>
      <c r="M97" s="36"/>
      <c r="N97" s="29"/>
      <c r="O97" s="29"/>
      <c r="P97" s="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</row>
    <row r="98" spans="1:58" ht="25.5">
      <c r="A98" s="125"/>
      <c r="B98" s="125"/>
      <c r="C98" s="126"/>
      <c r="D98" s="10" t="s">
        <v>157</v>
      </c>
      <c r="E98" s="11">
        <v>0.1</v>
      </c>
      <c r="F98" s="13"/>
      <c r="G98" s="13">
        <v>8</v>
      </c>
      <c r="H98" s="14">
        <f>'[1]2014-Unv-Plan-Cascaded'!K96</f>
        <v>0</v>
      </c>
      <c r="I98" s="33"/>
      <c r="J98" s="34">
        <v>0</v>
      </c>
      <c r="K98" s="35"/>
      <c r="L98" s="36"/>
      <c r="M98" s="36"/>
      <c r="N98" s="29"/>
      <c r="O98" s="29"/>
      <c r="P98" s="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</row>
    <row r="99" spans="1:58">
      <c r="A99" s="125"/>
      <c r="B99" s="125"/>
      <c r="C99" s="124" t="s">
        <v>164</v>
      </c>
      <c r="D99" s="10" t="s">
        <v>159</v>
      </c>
      <c r="E99" s="11">
        <v>0.05</v>
      </c>
      <c r="F99" s="13"/>
      <c r="G99" s="13">
        <v>16</v>
      </c>
      <c r="H99" s="14">
        <f>'[1]2014-Unv-Plan-Cascaded'!K97</f>
        <v>0</v>
      </c>
      <c r="I99" s="33"/>
      <c r="J99" s="34">
        <v>0</v>
      </c>
      <c r="K99" s="35"/>
      <c r="L99" s="36"/>
      <c r="M99" s="36"/>
      <c r="N99" s="29"/>
      <c r="O99" s="29"/>
      <c r="P99" s="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</row>
    <row r="100" spans="1:58">
      <c r="A100" s="125"/>
      <c r="B100" s="125"/>
      <c r="C100" s="125"/>
      <c r="D100" s="10" t="s">
        <v>160</v>
      </c>
      <c r="E100" s="11">
        <v>0.1</v>
      </c>
      <c r="F100" s="13"/>
      <c r="G100" s="13">
        <v>12</v>
      </c>
      <c r="H100" s="14">
        <f>'[1]2014-Unv-Plan-Cascaded'!K98</f>
        <v>0</v>
      </c>
      <c r="I100" s="33"/>
      <c r="J100" s="34">
        <v>0</v>
      </c>
      <c r="K100" s="35"/>
      <c r="L100" s="36"/>
      <c r="M100" s="36"/>
      <c r="N100" s="29"/>
      <c r="O100" s="29"/>
      <c r="P100" s="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</row>
    <row r="101" spans="1:58">
      <c r="A101" s="125"/>
      <c r="B101" s="126"/>
      <c r="C101" s="126"/>
      <c r="D101" s="31" t="s">
        <v>161</v>
      </c>
      <c r="E101" s="11">
        <v>0.1</v>
      </c>
      <c r="F101" s="13"/>
      <c r="G101" s="14">
        <v>1</v>
      </c>
      <c r="H101" s="14">
        <f>'[1]2014-Unv-Plan-Cascaded'!K99</f>
        <v>0</v>
      </c>
      <c r="I101" s="33"/>
      <c r="J101" s="34">
        <v>0</v>
      </c>
      <c r="K101" s="35"/>
      <c r="L101" s="36"/>
      <c r="M101" s="36"/>
      <c r="N101" s="29"/>
      <c r="O101" s="29"/>
      <c r="P101" s="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117"/>
      <c r="BF101" s="117"/>
    </row>
    <row r="102" spans="1:58">
      <c r="A102" s="125"/>
      <c r="B102" s="124" t="s">
        <v>165</v>
      </c>
      <c r="C102" s="124" t="s">
        <v>166</v>
      </c>
      <c r="D102" s="10" t="s">
        <v>167</v>
      </c>
      <c r="E102" s="11">
        <v>0.5</v>
      </c>
      <c r="F102" s="13"/>
      <c r="G102" s="13">
        <v>50</v>
      </c>
      <c r="H102" s="14">
        <f>'[1]2014-Unv-Plan-Cascaded'!K100</f>
        <v>0</v>
      </c>
      <c r="I102" s="33"/>
      <c r="J102" s="34">
        <v>0</v>
      </c>
      <c r="K102" s="35"/>
      <c r="L102" s="36"/>
      <c r="M102" s="36"/>
      <c r="N102" s="29"/>
      <c r="O102" s="29"/>
      <c r="P102" s="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117"/>
      <c r="BF102" s="117"/>
    </row>
    <row r="103" spans="1:58" ht="25.5">
      <c r="A103" s="125"/>
      <c r="B103" s="125"/>
      <c r="C103" s="126"/>
      <c r="D103" s="10" t="s">
        <v>168</v>
      </c>
      <c r="E103" s="11">
        <v>0.5</v>
      </c>
      <c r="F103" s="13"/>
      <c r="G103" s="13">
        <v>5</v>
      </c>
      <c r="H103" s="14">
        <f>'[1]2014-Unv-Plan-Cascaded'!K101</f>
        <v>0</v>
      </c>
      <c r="I103" s="51"/>
      <c r="J103" s="52">
        <v>0</v>
      </c>
      <c r="K103" s="35"/>
      <c r="L103" s="54"/>
      <c r="M103" s="54"/>
      <c r="N103" s="29"/>
      <c r="O103" s="29"/>
      <c r="P103" s="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</row>
    <row r="104" spans="1:58" ht="25.5">
      <c r="A104" s="125"/>
      <c r="B104" s="125"/>
      <c r="C104" s="124" t="s">
        <v>169</v>
      </c>
      <c r="D104" s="10" t="s">
        <v>170</v>
      </c>
      <c r="E104" s="11">
        <v>0.5</v>
      </c>
      <c r="F104" s="13"/>
      <c r="G104" s="13">
        <v>5</v>
      </c>
      <c r="H104" s="14">
        <f>'[1]2014-Unv-Plan-Cascaded'!K102</f>
        <v>0</v>
      </c>
      <c r="I104" s="51"/>
      <c r="J104" s="52">
        <v>0</v>
      </c>
      <c r="K104" s="35"/>
      <c r="L104" s="54"/>
      <c r="M104" s="54"/>
      <c r="N104" s="29"/>
      <c r="O104" s="29"/>
      <c r="P104" s="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  <c r="AW104" s="117"/>
      <c r="AX104" s="117"/>
      <c r="AY104" s="117"/>
      <c r="AZ104" s="117"/>
      <c r="BA104" s="117"/>
      <c r="BB104" s="117"/>
      <c r="BC104" s="117"/>
      <c r="BD104" s="117"/>
      <c r="BE104" s="117"/>
      <c r="BF104" s="117"/>
    </row>
    <row r="105" spans="1:58" ht="25.5">
      <c r="A105" s="125"/>
      <c r="B105" s="125"/>
      <c r="C105" s="125"/>
      <c r="D105" s="10" t="s">
        <v>171</v>
      </c>
      <c r="E105" s="11">
        <v>0.25</v>
      </c>
      <c r="F105" s="13"/>
      <c r="G105" s="13">
        <v>5</v>
      </c>
      <c r="H105" s="14">
        <f>'[1]2014-Unv-Plan-Cascaded'!K103</f>
        <v>0</v>
      </c>
      <c r="I105" s="51"/>
      <c r="J105" s="52">
        <v>0</v>
      </c>
      <c r="K105" s="35"/>
      <c r="L105" s="54"/>
      <c r="M105" s="54"/>
      <c r="N105" s="29"/>
      <c r="O105" s="29"/>
      <c r="P105" s="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  <c r="AT105" s="117"/>
      <c r="AU105" s="117"/>
      <c r="AV105" s="117"/>
      <c r="AW105" s="117"/>
      <c r="AX105" s="117"/>
      <c r="AY105" s="117"/>
      <c r="AZ105" s="117"/>
      <c r="BA105" s="117"/>
      <c r="BB105" s="117"/>
      <c r="BC105" s="117"/>
      <c r="BD105" s="117"/>
      <c r="BE105" s="117"/>
      <c r="BF105" s="117"/>
    </row>
    <row r="106" spans="1:58" ht="25.5">
      <c r="A106" s="125"/>
      <c r="B106" s="125"/>
      <c r="C106" s="126"/>
      <c r="D106" s="10" t="s">
        <v>172</v>
      </c>
      <c r="E106" s="11">
        <v>0.75</v>
      </c>
      <c r="F106" s="13"/>
      <c r="G106" s="13">
        <v>2</v>
      </c>
      <c r="H106" s="14">
        <f>'[1]2014-Unv-Plan-Cascaded'!K104</f>
        <v>0</v>
      </c>
      <c r="I106" s="51"/>
      <c r="J106" s="52">
        <v>0</v>
      </c>
      <c r="K106" s="35"/>
      <c r="L106" s="54"/>
      <c r="M106" s="54"/>
      <c r="N106" s="29"/>
      <c r="O106" s="29"/>
      <c r="P106" s="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117"/>
      <c r="BF106" s="117"/>
    </row>
    <row r="107" spans="1:58" ht="25.5">
      <c r="A107" s="125"/>
      <c r="B107" s="125"/>
      <c r="C107" s="127" t="s">
        <v>173</v>
      </c>
      <c r="D107" s="10" t="s">
        <v>174</v>
      </c>
      <c r="E107" s="11">
        <v>0.5</v>
      </c>
      <c r="F107" s="13"/>
      <c r="G107" s="13">
        <v>8</v>
      </c>
      <c r="H107" s="14">
        <f>'[1]2014-Unv-Plan-Cascaded'!K105</f>
        <v>0</v>
      </c>
      <c r="I107" s="51"/>
      <c r="J107" s="52">
        <v>0</v>
      </c>
      <c r="K107" s="35"/>
      <c r="L107" s="54"/>
      <c r="M107" s="54"/>
      <c r="N107" s="29"/>
      <c r="O107" s="29"/>
      <c r="P107" s="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117"/>
      <c r="BF107" s="117"/>
    </row>
    <row r="108" spans="1:58">
      <c r="A108" s="125"/>
      <c r="B108" s="126"/>
      <c r="C108" s="126"/>
      <c r="D108" s="10" t="s">
        <v>175</v>
      </c>
      <c r="E108" s="11">
        <v>0.7</v>
      </c>
      <c r="F108" s="13"/>
      <c r="G108" s="13">
        <v>8</v>
      </c>
      <c r="H108" s="14">
        <f>'[1]2014-Unv-Plan-Cascaded'!K106</f>
        <v>0</v>
      </c>
      <c r="I108" s="51"/>
      <c r="J108" s="52">
        <v>0</v>
      </c>
      <c r="K108" s="35"/>
      <c r="L108" s="54"/>
      <c r="M108" s="54"/>
      <c r="N108" s="29"/>
      <c r="O108" s="29"/>
      <c r="P108" s="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  <c r="AW108" s="117"/>
      <c r="AX108" s="117"/>
      <c r="AY108" s="117"/>
      <c r="AZ108" s="117"/>
      <c r="BA108" s="117"/>
      <c r="BB108" s="117"/>
      <c r="BC108" s="117"/>
      <c r="BD108" s="117"/>
      <c r="BE108" s="117"/>
      <c r="BF108" s="117"/>
    </row>
    <row r="109" spans="1:58" ht="25.5">
      <c r="A109" s="125"/>
      <c r="B109" s="130" t="s">
        <v>176</v>
      </c>
      <c r="C109" s="132" t="s">
        <v>177</v>
      </c>
      <c r="D109" s="10" t="s">
        <v>178</v>
      </c>
      <c r="E109" s="11">
        <v>3</v>
      </c>
      <c r="F109" s="13"/>
      <c r="G109" s="13">
        <v>150</v>
      </c>
      <c r="H109" s="14">
        <f>'[1]2014-Unv-Plan-Cascaded'!K107</f>
        <v>0</v>
      </c>
      <c r="I109" s="51"/>
      <c r="J109" s="52">
        <v>0</v>
      </c>
      <c r="K109" s="35"/>
      <c r="L109" s="54"/>
      <c r="M109" s="54"/>
      <c r="N109" s="29"/>
      <c r="O109" s="29"/>
      <c r="P109" s="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</row>
    <row r="110" spans="1:58" ht="38.25">
      <c r="A110" s="125"/>
      <c r="B110" s="125"/>
      <c r="C110" s="125"/>
      <c r="D110" s="10" t="s">
        <v>179</v>
      </c>
      <c r="E110" s="11">
        <v>0.5</v>
      </c>
      <c r="F110" s="13"/>
      <c r="G110" s="13">
        <v>40</v>
      </c>
      <c r="H110" s="14">
        <f>'[1]2014-Unv-Plan-Cascaded'!K108</f>
        <v>0</v>
      </c>
      <c r="I110" s="51"/>
      <c r="J110" s="52">
        <v>0</v>
      </c>
      <c r="K110" s="35"/>
      <c r="L110" s="54"/>
      <c r="M110" s="54"/>
      <c r="N110" s="29"/>
      <c r="O110" s="29"/>
      <c r="P110" s="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117"/>
      <c r="BF110" s="117"/>
    </row>
    <row r="111" spans="1:58" ht="25.5">
      <c r="A111" s="125"/>
      <c r="B111" s="125"/>
      <c r="C111" s="125"/>
      <c r="D111" s="10" t="s">
        <v>180</v>
      </c>
      <c r="E111" s="11">
        <v>0.25</v>
      </c>
      <c r="F111" s="13"/>
      <c r="G111" s="13">
        <v>8</v>
      </c>
      <c r="H111" s="14">
        <f>'[1]2014-Unv-Plan-Cascaded'!K109</f>
        <v>0</v>
      </c>
      <c r="I111" s="51"/>
      <c r="J111" s="52">
        <v>0</v>
      </c>
      <c r="K111" s="35"/>
      <c r="L111" s="54"/>
      <c r="M111" s="54"/>
      <c r="N111" s="29"/>
      <c r="O111" s="29"/>
      <c r="P111" s="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7"/>
      <c r="BF111" s="117"/>
    </row>
    <row r="112" spans="1:58">
      <c r="A112" s="125"/>
      <c r="B112" s="125"/>
      <c r="C112" s="126"/>
      <c r="D112" s="10" t="s">
        <v>181</v>
      </c>
      <c r="E112" s="11">
        <v>0.05</v>
      </c>
      <c r="F112" s="13"/>
      <c r="G112" s="13">
        <v>1</v>
      </c>
      <c r="H112" s="14">
        <f>'[1]2014-Unv-Plan-Cascaded'!K110</f>
        <v>0</v>
      </c>
      <c r="I112" s="51"/>
      <c r="J112" s="52">
        <v>0</v>
      </c>
      <c r="K112" s="35"/>
      <c r="L112" s="54"/>
      <c r="M112" s="54"/>
      <c r="N112" s="29"/>
      <c r="O112" s="29"/>
      <c r="P112" s="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117"/>
      <c r="BF112" s="117"/>
    </row>
    <row r="113" spans="1:58" ht="25.5">
      <c r="A113" s="126"/>
      <c r="B113" s="126"/>
      <c r="C113" s="84" t="s">
        <v>182</v>
      </c>
      <c r="D113" s="10" t="s">
        <v>183</v>
      </c>
      <c r="E113" s="11">
        <v>0.25</v>
      </c>
      <c r="F113" s="13"/>
      <c r="G113" s="13">
        <v>2000</v>
      </c>
      <c r="H113" s="14">
        <f>'[1]2014-Unv-Plan-Cascaded'!K111</f>
        <v>0</v>
      </c>
      <c r="I113" s="51"/>
      <c r="J113" s="52">
        <v>0</v>
      </c>
      <c r="K113" s="35"/>
      <c r="L113" s="54"/>
      <c r="M113" s="54"/>
      <c r="N113" s="29"/>
      <c r="O113" s="29"/>
      <c r="P113" s="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</row>
    <row r="114" spans="1:58" ht="25.5">
      <c r="A114" s="124" t="s">
        <v>184</v>
      </c>
      <c r="B114" s="124" t="s">
        <v>185</v>
      </c>
      <c r="C114" s="124" t="s">
        <v>186</v>
      </c>
      <c r="D114" s="85" t="s">
        <v>187</v>
      </c>
      <c r="E114" s="11">
        <v>0.1</v>
      </c>
      <c r="F114" s="13"/>
      <c r="G114" s="13">
        <v>25</v>
      </c>
      <c r="H114" s="14">
        <f>'[1]2014-Unv-Plan-Cascaded'!K112</f>
        <v>0</v>
      </c>
      <c r="I114" s="33"/>
      <c r="J114" s="34">
        <v>0</v>
      </c>
      <c r="K114" s="35"/>
      <c r="L114" s="36"/>
      <c r="M114" s="36"/>
      <c r="N114" s="29"/>
      <c r="O114" s="29"/>
      <c r="P114" s="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</row>
    <row r="115" spans="1:58" ht="25.5">
      <c r="A115" s="125"/>
      <c r="B115" s="125"/>
      <c r="C115" s="125"/>
      <c r="D115" s="85" t="s">
        <v>188</v>
      </c>
      <c r="E115" s="11">
        <v>0.1</v>
      </c>
      <c r="F115" s="13"/>
      <c r="G115" s="13">
        <v>20</v>
      </c>
      <c r="H115" s="14">
        <f>'[1]2014-Unv-Plan-Cascaded'!K113</f>
        <v>0</v>
      </c>
      <c r="I115" s="33"/>
      <c r="J115" s="34">
        <v>0</v>
      </c>
      <c r="K115" s="35"/>
      <c r="L115" s="36"/>
      <c r="M115" s="36"/>
      <c r="N115" s="29"/>
      <c r="O115" s="29"/>
      <c r="P115" s="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</row>
    <row r="116" spans="1:58" ht="25.5">
      <c r="A116" s="125"/>
      <c r="B116" s="125"/>
      <c r="C116" s="125"/>
      <c r="D116" s="85" t="s">
        <v>189</v>
      </c>
      <c r="E116" s="11">
        <v>0.1</v>
      </c>
      <c r="F116" s="13"/>
      <c r="G116" s="13">
        <v>25</v>
      </c>
      <c r="H116" s="14">
        <f>'[1]2014-Unv-Plan-Cascaded'!K114</f>
        <v>0</v>
      </c>
      <c r="I116" s="33"/>
      <c r="J116" s="34">
        <v>0</v>
      </c>
      <c r="K116" s="35"/>
      <c r="L116" s="36"/>
      <c r="M116" s="36"/>
      <c r="N116" s="29"/>
      <c r="O116" s="29"/>
      <c r="P116" s="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117"/>
      <c r="BF116" s="117"/>
    </row>
    <row r="117" spans="1:58">
      <c r="A117" s="125"/>
      <c r="B117" s="125"/>
      <c r="C117" s="126"/>
      <c r="D117" s="85" t="s">
        <v>190</v>
      </c>
      <c r="E117" s="11">
        <v>0.05</v>
      </c>
      <c r="F117" s="13"/>
      <c r="G117" s="13">
        <v>3</v>
      </c>
      <c r="H117" s="14">
        <f>'[1]2014-Unv-Plan-Cascaded'!K115</f>
        <v>0</v>
      </c>
      <c r="I117" s="33"/>
      <c r="J117" s="34">
        <v>0</v>
      </c>
      <c r="K117" s="35"/>
      <c r="L117" s="36"/>
      <c r="M117" s="36"/>
      <c r="N117" s="29"/>
      <c r="O117" s="29"/>
      <c r="P117" s="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17"/>
    </row>
    <row r="118" spans="1:58" ht="25.5">
      <c r="A118" s="125"/>
      <c r="B118" s="125"/>
      <c r="C118" s="124" t="s">
        <v>191</v>
      </c>
      <c r="D118" s="85" t="s">
        <v>187</v>
      </c>
      <c r="E118" s="11">
        <v>0.1</v>
      </c>
      <c r="F118" s="13"/>
      <c r="G118" s="13">
        <v>8</v>
      </c>
      <c r="H118" s="14">
        <f>'[1]2014-Unv-Plan-Cascaded'!K116</f>
        <v>0</v>
      </c>
      <c r="I118" s="33"/>
      <c r="J118" s="34">
        <v>0</v>
      </c>
      <c r="K118" s="35"/>
      <c r="L118" s="54"/>
      <c r="M118" s="54"/>
      <c r="N118" s="29"/>
      <c r="O118" s="29"/>
      <c r="P118" s="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  <c r="AT118" s="117"/>
      <c r="AU118" s="117"/>
      <c r="AV118" s="117"/>
      <c r="AW118" s="117"/>
      <c r="AX118" s="117"/>
      <c r="AY118" s="117"/>
      <c r="AZ118" s="117"/>
      <c r="BA118" s="117"/>
      <c r="BB118" s="117"/>
      <c r="BC118" s="117"/>
      <c r="BD118" s="117"/>
      <c r="BE118" s="117"/>
      <c r="BF118" s="117"/>
    </row>
    <row r="119" spans="1:58" ht="25.5">
      <c r="A119" s="125"/>
      <c r="B119" s="125"/>
      <c r="C119" s="125"/>
      <c r="D119" s="85" t="s">
        <v>188</v>
      </c>
      <c r="E119" s="11">
        <v>0.15</v>
      </c>
      <c r="F119" s="13"/>
      <c r="G119" s="13">
        <v>4</v>
      </c>
      <c r="H119" s="14">
        <f>'[1]2014-Unv-Plan-Cascaded'!K117</f>
        <v>0</v>
      </c>
      <c r="I119" s="33"/>
      <c r="J119" s="34">
        <v>0</v>
      </c>
      <c r="K119" s="35"/>
      <c r="L119" s="54"/>
      <c r="M119" s="54"/>
      <c r="N119" s="29"/>
      <c r="O119" s="29"/>
      <c r="P119" s="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17"/>
      <c r="BA119" s="117"/>
      <c r="BB119" s="117"/>
      <c r="BC119" s="117"/>
      <c r="BD119" s="117"/>
      <c r="BE119" s="117"/>
      <c r="BF119" s="117"/>
    </row>
    <row r="120" spans="1:58" ht="25.5">
      <c r="A120" s="125"/>
      <c r="B120" s="125"/>
      <c r="C120" s="125"/>
      <c r="D120" s="85" t="s">
        <v>189</v>
      </c>
      <c r="E120" s="11">
        <v>0.15</v>
      </c>
      <c r="F120" s="13"/>
      <c r="G120" s="13">
        <v>2</v>
      </c>
      <c r="H120" s="14">
        <f>'[1]2014-Unv-Plan-Cascaded'!K118</f>
        <v>0</v>
      </c>
      <c r="I120" s="33"/>
      <c r="J120" s="34">
        <v>0</v>
      </c>
      <c r="K120" s="35"/>
      <c r="L120" s="54"/>
      <c r="M120" s="54"/>
      <c r="N120" s="29"/>
      <c r="O120" s="29"/>
      <c r="P120" s="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  <c r="AW120" s="117"/>
      <c r="AX120" s="117"/>
      <c r="AY120" s="117"/>
      <c r="AZ120" s="117"/>
      <c r="BA120" s="117"/>
      <c r="BB120" s="117"/>
      <c r="BC120" s="117"/>
      <c r="BD120" s="117"/>
      <c r="BE120" s="117"/>
      <c r="BF120" s="117"/>
    </row>
    <row r="121" spans="1:58">
      <c r="A121" s="125"/>
      <c r="B121" s="126"/>
      <c r="C121" s="126"/>
      <c r="D121" s="85" t="s">
        <v>190</v>
      </c>
      <c r="E121" s="11">
        <v>0.05</v>
      </c>
      <c r="F121" s="13"/>
      <c r="G121" s="13">
        <v>1</v>
      </c>
      <c r="H121" s="14">
        <f>'[1]2014-Unv-Plan-Cascaded'!K119</f>
        <v>0</v>
      </c>
      <c r="I121" s="33"/>
      <c r="J121" s="34">
        <v>0</v>
      </c>
      <c r="K121" s="35"/>
      <c r="L121" s="54"/>
      <c r="M121" s="54"/>
      <c r="N121" s="29"/>
      <c r="O121" s="29"/>
      <c r="P121" s="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17"/>
      <c r="BF121" s="117"/>
    </row>
    <row r="122" spans="1:58">
      <c r="A122" s="125"/>
      <c r="B122" s="124" t="s">
        <v>192</v>
      </c>
      <c r="C122" s="124" t="s">
        <v>193</v>
      </c>
      <c r="D122" s="10" t="s">
        <v>194</v>
      </c>
      <c r="E122" s="11">
        <v>0.5</v>
      </c>
      <c r="F122" s="13"/>
      <c r="G122" s="13">
        <v>4</v>
      </c>
      <c r="H122" s="14">
        <f>'[1]2014-Unv-Plan-Cascaded'!K120</f>
        <v>0</v>
      </c>
      <c r="I122" s="33"/>
      <c r="J122" s="34">
        <v>0</v>
      </c>
      <c r="K122" s="35"/>
      <c r="L122" s="54"/>
      <c r="M122" s="54"/>
      <c r="N122" s="29"/>
      <c r="O122" s="29"/>
      <c r="P122" s="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  <c r="AW122" s="117"/>
      <c r="AX122" s="117"/>
      <c r="AY122" s="117"/>
      <c r="AZ122" s="117"/>
      <c r="BA122" s="117"/>
      <c r="BB122" s="117"/>
      <c r="BC122" s="117"/>
      <c r="BD122" s="117"/>
      <c r="BE122" s="117"/>
      <c r="BF122" s="117"/>
    </row>
    <row r="123" spans="1:58" ht="25.5">
      <c r="A123" s="125"/>
      <c r="B123" s="125"/>
      <c r="C123" s="126"/>
      <c r="D123" s="10" t="s">
        <v>195</v>
      </c>
      <c r="E123" s="62">
        <v>0.1</v>
      </c>
      <c r="F123" s="72"/>
      <c r="G123" s="72">
        <v>8</v>
      </c>
      <c r="H123" s="14">
        <f>'[1]2014-Unv-Plan-Cascaded'!K121</f>
        <v>0</v>
      </c>
      <c r="I123" s="33"/>
      <c r="J123" s="34">
        <v>0</v>
      </c>
      <c r="K123" s="35"/>
      <c r="L123" s="54"/>
      <c r="M123" s="54"/>
      <c r="N123" s="29"/>
      <c r="O123" s="29"/>
      <c r="P123" s="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7"/>
      <c r="BF123" s="117"/>
    </row>
    <row r="124" spans="1:58">
      <c r="A124" s="125"/>
      <c r="B124" s="125"/>
      <c r="C124" s="124" t="s">
        <v>196</v>
      </c>
      <c r="D124" s="10" t="s">
        <v>194</v>
      </c>
      <c r="E124" s="11">
        <v>0.75</v>
      </c>
      <c r="F124" s="13"/>
      <c r="G124" s="13">
        <v>4</v>
      </c>
      <c r="H124" s="14">
        <f>'[1]2014-Unv-Plan-Cascaded'!K122</f>
        <v>0</v>
      </c>
      <c r="I124" s="33"/>
      <c r="J124" s="34">
        <v>0</v>
      </c>
      <c r="K124" s="35"/>
      <c r="L124" s="54"/>
      <c r="M124" s="54"/>
      <c r="N124" s="29"/>
      <c r="O124" s="29"/>
      <c r="P124" s="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</row>
    <row r="125" spans="1:58" ht="25.5">
      <c r="A125" s="125"/>
      <c r="B125" s="125"/>
      <c r="C125" s="125"/>
      <c r="D125" s="10" t="s">
        <v>195</v>
      </c>
      <c r="E125" s="11">
        <v>0.05</v>
      </c>
      <c r="F125" s="13"/>
      <c r="G125" s="13">
        <v>5</v>
      </c>
      <c r="H125" s="14">
        <f>'[1]2014-Unv-Plan-Cascaded'!K123</f>
        <v>0</v>
      </c>
      <c r="I125" s="33"/>
      <c r="J125" s="34">
        <v>0</v>
      </c>
      <c r="K125" s="35"/>
      <c r="L125" s="54"/>
      <c r="M125" s="54"/>
      <c r="N125" s="29"/>
      <c r="O125" s="29"/>
      <c r="P125" s="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</row>
    <row r="126" spans="1:58" ht="25.5">
      <c r="A126" s="125"/>
      <c r="B126" s="125"/>
      <c r="C126" s="125"/>
      <c r="D126" s="10" t="s">
        <v>197</v>
      </c>
      <c r="E126" s="11">
        <v>0.25</v>
      </c>
      <c r="F126" s="13"/>
      <c r="G126" s="13">
        <v>13</v>
      </c>
      <c r="H126" s="14">
        <f>'[1]2014-Unv-Plan-Cascaded'!K124</f>
        <v>0</v>
      </c>
      <c r="I126" s="33"/>
      <c r="J126" s="34">
        <v>0</v>
      </c>
      <c r="K126" s="35"/>
      <c r="L126" s="54"/>
      <c r="M126" s="54"/>
      <c r="N126" s="29"/>
      <c r="O126" s="29"/>
      <c r="P126" s="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17"/>
      <c r="BE126" s="117"/>
      <c r="BF126" s="117"/>
    </row>
    <row r="127" spans="1:58" ht="25.5">
      <c r="A127" s="125"/>
      <c r="B127" s="126"/>
      <c r="C127" s="126"/>
      <c r="D127" s="10" t="s">
        <v>198</v>
      </c>
      <c r="E127" s="11">
        <v>0.05</v>
      </c>
      <c r="F127" s="13"/>
      <c r="G127" s="13">
        <v>33</v>
      </c>
      <c r="H127" s="14">
        <f>'[1]2014-Unv-Plan-Cascaded'!K125</f>
        <v>0</v>
      </c>
      <c r="I127" s="33"/>
      <c r="J127" s="34">
        <v>0</v>
      </c>
      <c r="K127" s="35"/>
      <c r="L127" s="54"/>
      <c r="M127" s="54"/>
      <c r="N127" s="29"/>
      <c r="O127" s="29"/>
      <c r="P127" s="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17"/>
      <c r="BA127" s="117"/>
      <c r="BB127" s="117"/>
      <c r="BC127" s="117"/>
      <c r="BD127" s="117"/>
      <c r="BE127" s="117"/>
      <c r="BF127" s="117"/>
    </row>
    <row r="128" spans="1:58">
      <c r="A128" s="125"/>
      <c r="B128" s="124" t="s">
        <v>199</v>
      </c>
      <c r="C128" s="124" t="s">
        <v>200</v>
      </c>
      <c r="D128" s="31" t="s">
        <v>201</v>
      </c>
      <c r="E128" s="11">
        <v>0.25</v>
      </c>
      <c r="F128" s="13"/>
      <c r="G128" s="13">
        <v>2</v>
      </c>
      <c r="H128" s="14">
        <f>'[1]2014-Unv-Plan-Cascaded'!K126</f>
        <v>0</v>
      </c>
      <c r="I128" s="33"/>
      <c r="J128" s="34">
        <v>0</v>
      </c>
      <c r="K128" s="35"/>
      <c r="L128" s="54"/>
      <c r="M128" s="54"/>
      <c r="N128" s="29"/>
      <c r="O128" s="29"/>
      <c r="P128" s="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117"/>
      <c r="BF128" s="117"/>
    </row>
    <row r="129" spans="1:58">
      <c r="A129" s="126"/>
      <c r="B129" s="126"/>
      <c r="C129" s="126"/>
      <c r="D129" s="10" t="s">
        <v>202</v>
      </c>
      <c r="E129" s="11">
        <v>0.25</v>
      </c>
      <c r="F129" s="13"/>
      <c r="G129" s="13">
        <v>3</v>
      </c>
      <c r="H129" s="14">
        <f>'[1]2014-Unv-Plan-Cascaded'!K127</f>
        <v>0</v>
      </c>
      <c r="I129" s="33"/>
      <c r="J129" s="34">
        <v>0</v>
      </c>
      <c r="K129" s="35"/>
      <c r="L129" s="54"/>
      <c r="M129" s="54"/>
      <c r="N129" s="29"/>
      <c r="O129" s="29"/>
      <c r="P129" s="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</row>
    <row r="130" spans="1:58" ht="25.5">
      <c r="A130" s="124" t="s">
        <v>203</v>
      </c>
      <c r="B130" s="124" t="s">
        <v>204</v>
      </c>
      <c r="C130" s="127" t="s">
        <v>205</v>
      </c>
      <c r="D130" s="10" t="s">
        <v>206</v>
      </c>
      <c r="E130" s="11">
        <v>0.75</v>
      </c>
      <c r="F130" s="13"/>
      <c r="G130" s="13">
        <v>68</v>
      </c>
      <c r="H130" s="14">
        <f>'[1]2014-Unv-Plan-Cascaded'!K128</f>
        <v>0</v>
      </c>
      <c r="I130" s="51"/>
      <c r="J130" s="52">
        <v>0</v>
      </c>
      <c r="K130" s="53"/>
      <c r="L130" s="54"/>
      <c r="M130" s="54"/>
      <c r="N130" s="29"/>
      <c r="O130" s="29"/>
      <c r="P130" s="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17"/>
      <c r="BA130" s="117"/>
      <c r="BB130" s="117"/>
      <c r="BC130" s="117"/>
      <c r="BD130" s="117"/>
      <c r="BE130" s="117"/>
      <c r="BF130" s="117"/>
    </row>
    <row r="131" spans="1:58" ht="38.25">
      <c r="A131" s="125"/>
      <c r="B131" s="125"/>
      <c r="C131" s="125"/>
      <c r="D131" s="10" t="s">
        <v>207</v>
      </c>
      <c r="E131" s="11">
        <v>0.05</v>
      </c>
      <c r="F131" s="13"/>
      <c r="G131" s="13">
        <v>45</v>
      </c>
      <c r="H131" s="14">
        <f>'[1]2014-Unv-Plan-Cascaded'!K129</f>
        <v>0</v>
      </c>
      <c r="I131" s="51"/>
      <c r="J131" s="52">
        <v>0</v>
      </c>
      <c r="K131" s="53"/>
      <c r="L131" s="54"/>
      <c r="M131" s="54"/>
      <c r="N131" s="29"/>
      <c r="O131" s="29"/>
      <c r="P131" s="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/>
      <c r="AZ131" s="117"/>
      <c r="BA131" s="117"/>
      <c r="BB131" s="117"/>
      <c r="BC131" s="117"/>
      <c r="BD131" s="117"/>
      <c r="BE131" s="117"/>
      <c r="BF131" s="117"/>
    </row>
    <row r="132" spans="1:58" ht="25.5">
      <c r="A132" s="125"/>
      <c r="B132" s="125"/>
      <c r="C132" s="126"/>
      <c r="D132" s="10" t="s">
        <v>208</v>
      </c>
      <c r="E132" s="62">
        <v>0.1</v>
      </c>
      <c r="F132" s="72"/>
      <c r="G132" s="72">
        <v>296</v>
      </c>
      <c r="H132" s="14">
        <f>'[1]2014-Unv-Plan-Cascaded'!K130</f>
        <v>0</v>
      </c>
      <c r="I132" s="51"/>
      <c r="J132" s="52">
        <v>0</v>
      </c>
      <c r="K132" s="53"/>
      <c r="L132" s="54"/>
      <c r="M132" s="54"/>
      <c r="N132" s="29"/>
      <c r="O132" s="29"/>
      <c r="P132" s="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/>
      <c r="AT132" s="117"/>
      <c r="AU132" s="117"/>
      <c r="AV132" s="117"/>
      <c r="AW132" s="117"/>
      <c r="AX132" s="117"/>
      <c r="AY132" s="117"/>
      <c r="AZ132" s="117"/>
      <c r="BA132" s="117"/>
      <c r="BB132" s="117"/>
      <c r="BC132" s="117"/>
      <c r="BD132" s="117"/>
      <c r="BE132" s="117"/>
      <c r="BF132" s="117"/>
    </row>
    <row r="133" spans="1:58" ht="38.25">
      <c r="A133" s="125"/>
      <c r="B133" s="125"/>
      <c r="C133" s="127" t="s">
        <v>209</v>
      </c>
      <c r="D133" s="10" t="s">
        <v>210</v>
      </c>
      <c r="E133" s="11">
        <v>0.1</v>
      </c>
      <c r="F133" s="13"/>
      <c r="G133" s="13">
        <v>3</v>
      </c>
      <c r="H133" s="14">
        <f>'[1]2014-Unv-Plan-Cascaded'!K131</f>
        <v>0</v>
      </c>
      <c r="I133" s="51"/>
      <c r="J133" s="52">
        <v>0</v>
      </c>
      <c r="K133" s="53"/>
      <c r="L133" s="54"/>
      <c r="M133" s="54"/>
      <c r="N133" s="29"/>
      <c r="O133" s="29"/>
      <c r="P133" s="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</row>
    <row r="134" spans="1:58" ht="25.5">
      <c r="A134" s="125"/>
      <c r="B134" s="125"/>
      <c r="C134" s="125"/>
      <c r="D134" s="10" t="s">
        <v>211</v>
      </c>
      <c r="E134" s="62">
        <v>1</v>
      </c>
      <c r="F134" s="72"/>
      <c r="G134" s="72">
        <v>16</v>
      </c>
      <c r="H134" s="14">
        <f>'[1]2014-Unv-Plan-Cascaded'!K132</f>
        <v>0</v>
      </c>
      <c r="I134" s="51"/>
      <c r="J134" s="52">
        <v>0</v>
      </c>
      <c r="K134" s="53"/>
      <c r="L134" s="54"/>
      <c r="M134" s="54"/>
      <c r="N134" s="29"/>
      <c r="O134" s="29"/>
      <c r="P134" s="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7"/>
      <c r="BA134" s="117"/>
      <c r="BB134" s="117"/>
      <c r="BC134" s="117"/>
      <c r="BD134" s="117"/>
      <c r="BE134" s="117"/>
      <c r="BF134" s="117"/>
    </row>
    <row r="135" spans="1:58" ht="25.5">
      <c r="A135" s="125"/>
      <c r="B135" s="125"/>
      <c r="C135" s="126"/>
      <c r="D135" s="10" t="s">
        <v>212</v>
      </c>
      <c r="E135" s="11">
        <v>0.2</v>
      </c>
      <c r="F135" s="13"/>
      <c r="G135" s="13">
        <v>12</v>
      </c>
      <c r="H135" s="14">
        <f>'[1]2014-Unv-Plan-Cascaded'!K133</f>
        <v>0</v>
      </c>
      <c r="I135" s="51"/>
      <c r="J135" s="52">
        <v>0</v>
      </c>
      <c r="K135" s="53"/>
      <c r="L135" s="54"/>
      <c r="M135" s="54"/>
      <c r="N135" s="29"/>
      <c r="O135" s="29"/>
      <c r="P135" s="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117"/>
      <c r="BF135" s="117"/>
    </row>
    <row r="136" spans="1:58" ht="25.5">
      <c r="A136" s="125"/>
      <c r="B136" s="125"/>
      <c r="C136" s="124" t="s">
        <v>213</v>
      </c>
      <c r="D136" s="31" t="s">
        <v>214</v>
      </c>
      <c r="E136" s="11">
        <v>0.2</v>
      </c>
      <c r="F136" s="13"/>
      <c r="G136" s="13">
        <v>8</v>
      </c>
      <c r="H136" s="14">
        <f>'[1]2014-Unv-Plan-Cascaded'!K134</f>
        <v>0</v>
      </c>
      <c r="I136" s="51"/>
      <c r="J136" s="52">
        <v>0</v>
      </c>
      <c r="K136" s="53"/>
      <c r="L136" s="54"/>
      <c r="M136" s="54"/>
      <c r="N136" s="29"/>
      <c r="O136" s="29"/>
      <c r="P136" s="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/>
      <c r="BB136" s="117"/>
      <c r="BC136" s="117"/>
      <c r="BD136" s="117"/>
      <c r="BE136" s="117"/>
      <c r="BF136" s="117"/>
    </row>
    <row r="137" spans="1:58" ht="25.5">
      <c r="A137" s="125"/>
      <c r="B137" s="125"/>
      <c r="C137" s="125"/>
      <c r="D137" s="10" t="s">
        <v>215</v>
      </c>
      <c r="E137" s="11">
        <v>0.5</v>
      </c>
      <c r="F137" s="13"/>
      <c r="G137" s="13">
        <v>16</v>
      </c>
      <c r="H137" s="14">
        <f>'[1]2014-Unv-Plan-Cascaded'!K135</f>
        <v>0</v>
      </c>
      <c r="I137" s="51"/>
      <c r="J137" s="52">
        <v>0</v>
      </c>
      <c r="K137" s="53"/>
      <c r="L137" s="54"/>
      <c r="M137" s="54"/>
      <c r="N137" s="29"/>
      <c r="O137" s="29"/>
      <c r="P137" s="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/>
      <c r="BC137" s="117"/>
      <c r="BD137" s="117"/>
      <c r="BE137" s="117"/>
      <c r="BF137" s="117"/>
    </row>
    <row r="138" spans="1:58" ht="25.5">
      <c r="A138" s="126"/>
      <c r="B138" s="126"/>
      <c r="C138" s="126"/>
      <c r="D138" s="10" t="s">
        <v>216</v>
      </c>
      <c r="E138" s="11">
        <v>0.1</v>
      </c>
      <c r="F138" s="13"/>
      <c r="G138" s="13">
        <v>8</v>
      </c>
      <c r="H138" s="14">
        <f>'[1]2014-Unv-Plan-Cascaded'!K136</f>
        <v>0</v>
      </c>
      <c r="I138" s="51"/>
      <c r="J138" s="52">
        <v>0</v>
      </c>
      <c r="K138" s="53"/>
      <c r="L138" s="54"/>
      <c r="M138" s="54"/>
      <c r="N138" s="29"/>
      <c r="O138" s="29"/>
      <c r="P138" s="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117"/>
      <c r="BB138" s="117"/>
      <c r="BC138" s="117"/>
      <c r="BD138" s="117"/>
      <c r="BE138" s="117"/>
      <c r="BF138" s="117"/>
    </row>
    <row r="139" spans="1:58">
      <c r="A139" s="124" t="s">
        <v>217</v>
      </c>
      <c r="B139" s="127" t="s">
        <v>218</v>
      </c>
      <c r="C139" s="127" t="s">
        <v>219</v>
      </c>
      <c r="D139" s="10" t="s">
        <v>220</v>
      </c>
      <c r="E139" s="11">
        <v>0.25</v>
      </c>
      <c r="F139" s="13"/>
      <c r="G139" s="13">
        <v>8</v>
      </c>
      <c r="H139" s="14">
        <f>'[1]2014-Unv-Plan-Cascaded'!K137</f>
        <v>0</v>
      </c>
      <c r="I139" s="51"/>
      <c r="J139" s="52">
        <v>0</v>
      </c>
      <c r="K139" s="53"/>
      <c r="L139" s="54"/>
      <c r="M139" s="54"/>
      <c r="N139" s="29"/>
      <c r="O139" s="29"/>
      <c r="P139" s="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117"/>
      <c r="BF139" s="117"/>
    </row>
    <row r="140" spans="1:58" ht="25.5">
      <c r="A140" s="125"/>
      <c r="B140" s="125"/>
      <c r="C140" s="125"/>
      <c r="D140" s="10" t="s">
        <v>221</v>
      </c>
      <c r="E140" s="11">
        <v>0.05</v>
      </c>
      <c r="F140" s="13"/>
      <c r="G140" s="13">
        <v>8</v>
      </c>
      <c r="H140" s="14">
        <f>'[1]2014-Unv-Plan-Cascaded'!K138</f>
        <v>0</v>
      </c>
      <c r="I140" s="51"/>
      <c r="J140" s="52">
        <v>0</v>
      </c>
      <c r="K140" s="53"/>
      <c r="L140" s="54"/>
      <c r="M140" s="54"/>
      <c r="N140" s="29"/>
      <c r="O140" s="29"/>
      <c r="P140" s="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117"/>
      <c r="BB140" s="117"/>
      <c r="BC140" s="117"/>
      <c r="BD140" s="117"/>
      <c r="BE140" s="117"/>
      <c r="BF140" s="117"/>
    </row>
    <row r="141" spans="1:58" ht="25.5">
      <c r="A141" s="125"/>
      <c r="B141" s="125"/>
      <c r="C141" s="127" t="s">
        <v>222</v>
      </c>
      <c r="D141" s="10" t="s">
        <v>156</v>
      </c>
      <c r="E141" s="11">
        <v>0.6</v>
      </c>
      <c r="F141" s="13"/>
      <c r="G141" s="13">
        <v>16</v>
      </c>
      <c r="H141" s="14">
        <f>'[1]2014-Unv-Plan-Cascaded'!K139</f>
        <v>0</v>
      </c>
      <c r="I141" s="51"/>
      <c r="J141" s="52">
        <v>0</v>
      </c>
      <c r="K141" s="53"/>
      <c r="L141" s="54"/>
      <c r="M141" s="54"/>
      <c r="N141" s="29"/>
      <c r="O141" s="29"/>
      <c r="P141" s="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117"/>
      <c r="BF141" s="117"/>
    </row>
    <row r="142" spans="1:58" ht="25.5">
      <c r="A142" s="125"/>
      <c r="B142" s="125"/>
      <c r="C142" s="126"/>
      <c r="D142" s="10" t="s">
        <v>157</v>
      </c>
      <c r="E142" s="11">
        <v>0.05</v>
      </c>
      <c r="F142" s="13"/>
      <c r="G142" s="13">
        <v>2</v>
      </c>
      <c r="H142" s="14">
        <f>'[1]2014-Unv-Plan-Cascaded'!K140</f>
        <v>0</v>
      </c>
      <c r="I142" s="51"/>
      <c r="J142" s="52">
        <v>0</v>
      </c>
      <c r="K142" s="53"/>
      <c r="L142" s="54"/>
      <c r="M142" s="54"/>
      <c r="N142" s="29"/>
      <c r="O142" s="29"/>
      <c r="P142" s="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17"/>
      <c r="BA142" s="117"/>
      <c r="BB142" s="117"/>
      <c r="BC142" s="117"/>
      <c r="BD142" s="117"/>
      <c r="BE142" s="117"/>
      <c r="BF142" s="117"/>
    </row>
    <row r="143" spans="1:58">
      <c r="A143" s="125"/>
      <c r="B143" s="125"/>
      <c r="C143" s="127" t="s">
        <v>223</v>
      </c>
      <c r="D143" s="10" t="s">
        <v>159</v>
      </c>
      <c r="E143" s="11">
        <v>0.05</v>
      </c>
      <c r="F143" s="13"/>
      <c r="G143" s="13">
        <v>6</v>
      </c>
      <c r="H143" s="14">
        <f>'[1]2014-Unv-Plan-Cascaded'!K141</f>
        <v>0</v>
      </c>
      <c r="I143" s="51"/>
      <c r="J143" s="52">
        <v>0</v>
      </c>
      <c r="K143" s="53"/>
      <c r="L143" s="54"/>
      <c r="M143" s="54"/>
      <c r="N143" s="29"/>
      <c r="O143" s="29"/>
      <c r="P143" s="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117"/>
      <c r="BF143" s="117"/>
    </row>
    <row r="144" spans="1:58">
      <c r="A144" s="125"/>
      <c r="B144" s="125"/>
      <c r="C144" s="125"/>
      <c r="D144" s="10" t="s">
        <v>224</v>
      </c>
      <c r="E144" s="11">
        <v>0.6</v>
      </c>
      <c r="F144" s="13"/>
      <c r="G144" s="13">
        <v>6</v>
      </c>
      <c r="H144" s="14">
        <f>'[1]2014-Unv-Plan-Cascaded'!K142</f>
        <v>0</v>
      </c>
      <c r="I144" s="51"/>
      <c r="J144" s="52">
        <v>0</v>
      </c>
      <c r="K144" s="53"/>
      <c r="L144" s="54"/>
      <c r="M144" s="54"/>
      <c r="N144" s="29"/>
      <c r="O144" s="29"/>
      <c r="P144" s="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117"/>
      <c r="BB144" s="117"/>
      <c r="BC144" s="117"/>
      <c r="BD144" s="117"/>
      <c r="BE144" s="117"/>
      <c r="BF144" s="117"/>
    </row>
    <row r="145" spans="1:58">
      <c r="A145" s="125"/>
      <c r="B145" s="126"/>
      <c r="C145" s="126"/>
      <c r="D145" s="31" t="s">
        <v>161</v>
      </c>
      <c r="E145" s="11">
        <v>0.05</v>
      </c>
      <c r="F145" s="13"/>
      <c r="G145" s="14">
        <v>1</v>
      </c>
      <c r="H145" s="14">
        <f>'[1]2014-Unv-Plan-Cascaded'!K143</f>
        <v>0</v>
      </c>
      <c r="I145" s="51"/>
      <c r="J145" s="52">
        <v>0</v>
      </c>
      <c r="K145" s="53"/>
      <c r="L145" s="54"/>
      <c r="M145" s="54"/>
      <c r="N145" s="29"/>
      <c r="O145" s="29"/>
      <c r="P145" s="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/>
      <c r="BC145" s="117"/>
      <c r="BD145" s="117"/>
      <c r="BE145" s="117"/>
      <c r="BF145" s="117"/>
    </row>
    <row r="146" spans="1:58" ht="25.5">
      <c r="A146" s="125"/>
      <c r="B146" s="124" t="s">
        <v>225</v>
      </c>
      <c r="C146" s="124" t="s">
        <v>226</v>
      </c>
      <c r="D146" s="10" t="s">
        <v>227</v>
      </c>
      <c r="E146" s="11">
        <v>0.05</v>
      </c>
      <c r="F146" s="13"/>
      <c r="G146" s="13">
        <v>30</v>
      </c>
      <c r="H146" s="14">
        <f>'[1]2014-Unv-Plan-Cascaded'!K144</f>
        <v>0</v>
      </c>
      <c r="I146" s="51"/>
      <c r="J146" s="52">
        <v>0</v>
      </c>
      <c r="K146" s="53"/>
      <c r="L146" s="54"/>
      <c r="M146" s="54"/>
      <c r="N146" s="29"/>
      <c r="O146" s="29"/>
      <c r="P146" s="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/>
      <c r="BA146" s="117"/>
      <c r="BB146" s="117"/>
      <c r="BC146" s="117"/>
      <c r="BD146" s="117"/>
      <c r="BE146" s="117"/>
      <c r="BF146" s="117"/>
    </row>
    <row r="147" spans="1:58">
      <c r="A147" s="125"/>
      <c r="B147" s="125"/>
      <c r="C147" s="126"/>
      <c r="D147" s="10" t="s">
        <v>228</v>
      </c>
      <c r="E147" s="11">
        <v>0.2</v>
      </c>
      <c r="F147" s="13"/>
      <c r="G147" s="13">
        <v>3</v>
      </c>
      <c r="H147" s="14">
        <f>'[1]2014-Unv-Plan-Cascaded'!K145</f>
        <v>0</v>
      </c>
      <c r="I147" s="51"/>
      <c r="J147" s="52">
        <v>0</v>
      </c>
      <c r="K147" s="53"/>
      <c r="L147" s="54"/>
      <c r="M147" s="54"/>
      <c r="N147" s="29"/>
      <c r="O147" s="29"/>
      <c r="P147" s="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/>
      <c r="BC147" s="117"/>
      <c r="BD147" s="117"/>
      <c r="BE147" s="117"/>
      <c r="BF147" s="117"/>
    </row>
    <row r="148" spans="1:58" ht="25.5">
      <c r="A148" s="125"/>
      <c r="B148" s="125"/>
      <c r="C148" s="124" t="s">
        <v>229</v>
      </c>
      <c r="D148" s="10" t="s">
        <v>230</v>
      </c>
      <c r="E148" s="11">
        <v>0.25</v>
      </c>
      <c r="F148" s="13"/>
      <c r="G148" s="13">
        <v>5000</v>
      </c>
      <c r="H148" s="14">
        <f>'[1]2014-Unv-Plan-Cascaded'!K146</f>
        <v>0</v>
      </c>
      <c r="I148" s="51"/>
      <c r="J148" s="52">
        <v>0</v>
      </c>
      <c r="K148" s="53"/>
      <c r="L148" s="54"/>
      <c r="M148" s="54"/>
      <c r="N148" s="29"/>
      <c r="O148" s="29"/>
      <c r="P148" s="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7"/>
      <c r="BA148" s="117"/>
      <c r="BB148" s="117"/>
      <c r="BC148" s="117"/>
      <c r="BD148" s="117"/>
      <c r="BE148" s="117"/>
      <c r="BF148" s="117"/>
    </row>
    <row r="149" spans="1:58" ht="25.5">
      <c r="A149" s="125"/>
      <c r="B149" s="125"/>
      <c r="C149" s="125"/>
      <c r="D149" s="10" t="s">
        <v>231</v>
      </c>
      <c r="E149" s="11">
        <v>0.25</v>
      </c>
      <c r="F149" s="13"/>
      <c r="G149" s="13">
        <v>350</v>
      </c>
      <c r="H149" s="14">
        <f>'[1]2014-Unv-Plan-Cascaded'!K147</f>
        <v>0</v>
      </c>
      <c r="I149" s="51"/>
      <c r="J149" s="52">
        <v>0</v>
      </c>
      <c r="K149" s="53"/>
      <c r="L149" s="54"/>
      <c r="M149" s="54"/>
      <c r="N149" s="29"/>
      <c r="O149" s="29"/>
      <c r="P149" s="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  <c r="AW149" s="117"/>
      <c r="AX149" s="117"/>
      <c r="AY149" s="117"/>
      <c r="AZ149" s="117"/>
      <c r="BA149" s="117"/>
      <c r="BB149" s="117"/>
      <c r="BC149" s="117"/>
      <c r="BD149" s="117"/>
      <c r="BE149" s="117"/>
      <c r="BF149" s="117"/>
    </row>
    <row r="150" spans="1:58" ht="25.5">
      <c r="A150" s="125"/>
      <c r="B150" s="126"/>
      <c r="C150" s="126"/>
      <c r="D150" s="10" t="s">
        <v>232</v>
      </c>
      <c r="E150" s="11">
        <v>0.25</v>
      </c>
      <c r="F150" s="13"/>
      <c r="G150" s="13">
        <v>35</v>
      </c>
      <c r="H150" s="14">
        <f>'[1]2014-Unv-Plan-Cascaded'!K148</f>
        <v>0</v>
      </c>
      <c r="I150" s="51"/>
      <c r="J150" s="52">
        <v>0</v>
      </c>
      <c r="K150" s="53"/>
      <c r="L150" s="54"/>
      <c r="M150" s="54"/>
      <c r="N150" s="29"/>
      <c r="O150" s="29"/>
      <c r="P150" s="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7"/>
      <c r="BA150" s="117"/>
      <c r="BB150" s="117"/>
      <c r="BC150" s="117"/>
      <c r="BD150" s="117"/>
      <c r="BE150" s="117"/>
      <c r="BF150" s="117"/>
    </row>
    <row r="151" spans="1:58" ht="25.5">
      <c r="A151" s="125"/>
      <c r="B151" s="124" t="s">
        <v>233</v>
      </c>
      <c r="C151" s="124" t="s">
        <v>234</v>
      </c>
      <c r="D151" s="10" t="s">
        <v>235</v>
      </c>
      <c r="E151" s="11">
        <v>0.05</v>
      </c>
      <c r="F151" s="13"/>
      <c r="G151" s="13">
        <v>13</v>
      </c>
      <c r="H151" s="14">
        <f>'[1]2014-Unv-Plan-Cascaded'!K149</f>
        <v>0</v>
      </c>
      <c r="I151" s="51"/>
      <c r="J151" s="52">
        <v>0</v>
      </c>
      <c r="K151" s="53"/>
      <c r="L151" s="54"/>
      <c r="M151" s="54"/>
      <c r="N151" s="29"/>
      <c r="O151" s="29"/>
      <c r="P151" s="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7"/>
      <c r="BA151" s="117"/>
      <c r="BB151" s="117"/>
      <c r="BC151" s="117"/>
      <c r="BD151" s="117"/>
      <c r="BE151" s="117"/>
      <c r="BF151" s="117"/>
    </row>
    <row r="152" spans="1:58" ht="25.5">
      <c r="A152" s="125"/>
      <c r="B152" s="125"/>
      <c r="C152" s="125"/>
      <c r="D152" s="10" t="s">
        <v>236</v>
      </c>
      <c r="E152" s="11">
        <v>0.25</v>
      </c>
      <c r="F152" s="13"/>
      <c r="G152" s="13">
        <v>8</v>
      </c>
      <c r="H152" s="14">
        <f>'[1]2014-Unv-Plan-Cascaded'!K150</f>
        <v>0</v>
      </c>
      <c r="I152" s="51"/>
      <c r="J152" s="52">
        <v>0</v>
      </c>
      <c r="K152" s="53"/>
      <c r="L152" s="54"/>
      <c r="M152" s="54"/>
      <c r="N152" s="29"/>
      <c r="O152" s="29"/>
      <c r="P152" s="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  <c r="AW152" s="117"/>
      <c r="AX152" s="117"/>
      <c r="AY152" s="117"/>
      <c r="AZ152" s="117"/>
      <c r="BA152" s="117"/>
      <c r="BB152" s="117"/>
      <c r="BC152" s="117"/>
      <c r="BD152" s="117"/>
      <c r="BE152" s="117"/>
      <c r="BF152" s="117"/>
    </row>
    <row r="153" spans="1:58" ht="25.5">
      <c r="A153" s="126"/>
      <c r="B153" s="126"/>
      <c r="C153" s="126"/>
      <c r="D153" s="10" t="s">
        <v>237</v>
      </c>
      <c r="E153" s="11">
        <v>0.05</v>
      </c>
      <c r="F153" s="13"/>
      <c r="G153" s="13">
        <v>2</v>
      </c>
      <c r="H153" s="14">
        <f>'[1]2014-Unv-Plan-Cascaded'!K151</f>
        <v>0.1</v>
      </c>
      <c r="I153" s="51"/>
      <c r="J153" s="52"/>
      <c r="K153" s="53"/>
      <c r="L153" s="54"/>
      <c r="M153" s="54"/>
      <c r="N153" s="29"/>
      <c r="O153" s="29"/>
      <c r="P153" s="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</row>
    <row r="154" spans="1:58">
      <c r="A154" s="124" t="s">
        <v>238</v>
      </c>
      <c r="B154" s="124" t="s">
        <v>239</v>
      </c>
      <c r="C154" s="127" t="s">
        <v>240</v>
      </c>
      <c r="D154" s="10" t="s">
        <v>241</v>
      </c>
      <c r="E154" s="11">
        <v>0.1</v>
      </c>
      <c r="F154" s="13"/>
      <c r="G154" s="13">
        <v>4</v>
      </c>
      <c r="H154" s="14">
        <f>'[1]2014-Unv-Plan-Cascaded'!K152</f>
        <v>0.2</v>
      </c>
      <c r="I154" s="51">
        <v>0.1</v>
      </c>
      <c r="J154" s="52">
        <v>0</v>
      </c>
      <c r="K154" s="53">
        <v>0</v>
      </c>
      <c r="L154" s="54"/>
      <c r="M154" s="54"/>
      <c r="N154" s="29"/>
      <c r="O154" s="29"/>
      <c r="P154" s="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17"/>
      <c r="BA154" s="117"/>
      <c r="BB154" s="117"/>
      <c r="BC154" s="117"/>
      <c r="BD154" s="117"/>
      <c r="BE154" s="117"/>
      <c r="BF154" s="117"/>
    </row>
    <row r="155" spans="1:58">
      <c r="A155" s="125"/>
      <c r="B155" s="125"/>
      <c r="C155" s="125"/>
      <c r="D155" s="10" t="s">
        <v>242</v>
      </c>
      <c r="E155" s="11">
        <v>0.1</v>
      </c>
      <c r="F155" s="13"/>
      <c r="G155" s="13">
        <v>5</v>
      </c>
      <c r="H155" s="14">
        <f>'[1]2014-Unv-Plan-Cascaded'!K153</f>
        <v>0.1</v>
      </c>
      <c r="I155" s="51">
        <v>0.2</v>
      </c>
      <c r="J155" s="52">
        <v>0</v>
      </c>
      <c r="K155" s="53">
        <v>0</v>
      </c>
      <c r="L155" s="54"/>
      <c r="M155" s="54"/>
      <c r="N155" s="29"/>
      <c r="O155" s="29"/>
      <c r="P155" s="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7"/>
      <c r="BA155" s="117"/>
      <c r="BB155" s="117"/>
      <c r="BC155" s="117"/>
      <c r="BD155" s="117"/>
      <c r="BE155" s="117"/>
      <c r="BF155" s="117"/>
    </row>
    <row r="156" spans="1:58">
      <c r="A156" s="125"/>
      <c r="B156" s="125"/>
      <c r="C156" s="125"/>
      <c r="D156" s="10" t="s">
        <v>243</v>
      </c>
      <c r="E156" s="11">
        <v>0.1</v>
      </c>
      <c r="F156" s="13"/>
      <c r="G156" s="13">
        <v>4</v>
      </c>
      <c r="H156" s="14">
        <f>'[1]2014-Unv-Plan-Cascaded'!K154</f>
        <v>0.2</v>
      </c>
      <c r="I156" s="51">
        <v>0.01</v>
      </c>
      <c r="J156" s="52">
        <v>0.03</v>
      </c>
      <c r="K156" s="75">
        <v>6.0000000000000001E-3</v>
      </c>
      <c r="L156" s="76">
        <v>6.0000000000000001E-3</v>
      </c>
      <c r="M156" s="76">
        <v>6.0000000000000001E-3</v>
      </c>
      <c r="N156" s="43">
        <v>6.0000000000000001E-3</v>
      </c>
      <c r="O156" s="43">
        <v>6.0000000000000001E-3</v>
      </c>
      <c r="P156" s="17"/>
      <c r="Q156" s="117"/>
      <c r="R156" s="117"/>
      <c r="S156" s="117">
        <v>1.2500000000000001E-2</v>
      </c>
      <c r="T156" s="117">
        <v>1.2500000000000001E-2</v>
      </c>
      <c r="U156" s="117">
        <v>1.2500000000000001E-2</v>
      </c>
      <c r="V156" s="117">
        <v>1.2500000000000001E-2</v>
      </c>
      <c r="W156" s="118"/>
      <c r="X156" s="118"/>
      <c r="Y156" s="118"/>
      <c r="Z156" s="117"/>
      <c r="AA156" s="117"/>
      <c r="AB156" s="117"/>
      <c r="AC156" s="117"/>
      <c r="AD156" s="117"/>
      <c r="AE156" s="117"/>
      <c r="AF156" s="117"/>
      <c r="AG156" s="117"/>
      <c r="AH156" s="118"/>
      <c r="AI156" s="118"/>
      <c r="AJ156" s="118"/>
      <c r="AK156" s="118"/>
      <c r="AL156" s="117"/>
      <c r="AM156" s="117"/>
      <c r="AN156" s="117"/>
      <c r="AO156" s="117"/>
      <c r="AP156" s="117"/>
      <c r="AQ156" s="117"/>
      <c r="AR156" s="117"/>
      <c r="AS156" s="117"/>
      <c r="AT156" s="118"/>
      <c r="AU156" s="120">
        <v>4.0000000000000003E-5</v>
      </c>
      <c r="AV156" s="120">
        <v>4.0000000000000003E-5</v>
      </c>
      <c r="AW156" s="120">
        <v>4.0000000000000003E-5</v>
      </c>
      <c r="AX156" s="120">
        <v>4.0000000000000003E-5</v>
      </c>
      <c r="AY156" s="120">
        <v>4.0000000000000003E-5</v>
      </c>
      <c r="AZ156" s="120">
        <v>4.0000000000000003E-5</v>
      </c>
      <c r="BA156" s="120">
        <v>4.0000000000000003E-5</v>
      </c>
      <c r="BB156" s="120">
        <v>4.0000000000000003E-5</v>
      </c>
      <c r="BC156" s="120">
        <v>4.0000000000000003E-5</v>
      </c>
      <c r="BD156" s="120">
        <v>4.0000000000000003E-5</v>
      </c>
      <c r="BE156" s="120">
        <v>4.0000000000000003E-5</v>
      </c>
      <c r="BF156" s="120">
        <v>4.0000000000000003E-5</v>
      </c>
    </row>
    <row r="157" spans="1:58">
      <c r="A157" s="125"/>
      <c r="B157" s="125"/>
      <c r="C157" s="125"/>
      <c r="D157" s="10" t="s">
        <v>244</v>
      </c>
      <c r="E157" s="11">
        <v>0.1</v>
      </c>
      <c r="F157" s="13"/>
      <c r="G157" s="13">
        <v>40</v>
      </c>
      <c r="H157" s="14">
        <f>'[1]2014-Unv-Plan-Cascaded'!K155</f>
        <v>0.1</v>
      </c>
      <c r="I157" s="51">
        <v>0.02</v>
      </c>
      <c r="J157" s="52">
        <v>0.06</v>
      </c>
      <c r="K157" s="75">
        <v>1.2E-2</v>
      </c>
      <c r="L157" s="75">
        <v>1.2E-2</v>
      </c>
      <c r="M157" s="75">
        <v>1.2E-2</v>
      </c>
      <c r="N157" s="75">
        <v>1.2E-2</v>
      </c>
      <c r="O157" s="75">
        <v>1.2E-2</v>
      </c>
      <c r="P157" s="17"/>
      <c r="Q157" s="117"/>
      <c r="R157" s="117"/>
      <c r="S157" s="117">
        <v>1.2500000000000001E-2</v>
      </c>
      <c r="T157" s="117">
        <v>1.2500000000000001E-2</v>
      </c>
      <c r="U157" s="117">
        <v>1.2500000000000001E-2</v>
      </c>
      <c r="V157" s="117">
        <v>1.2500000000000001E-2</v>
      </c>
      <c r="W157" s="118"/>
      <c r="X157" s="118"/>
      <c r="Y157" s="118"/>
      <c r="Z157" s="117"/>
      <c r="AA157" s="117"/>
      <c r="AB157" s="117"/>
      <c r="AC157" s="117"/>
      <c r="AD157" s="117"/>
      <c r="AE157" s="117"/>
      <c r="AF157" s="117"/>
      <c r="AG157" s="117"/>
      <c r="AH157" s="118"/>
      <c r="AI157" s="118"/>
      <c r="AJ157" s="118"/>
      <c r="AK157" s="118"/>
      <c r="AL157" s="117"/>
      <c r="AM157" s="117"/>
      <c r="AN157" s="117"/>
      <c r="AO157" s="117"/>
      <c r="AP157" s="117"/>
      <c r="AQ157" s="117"/>
      <c r="AR157" s="117"/>
      <c r="AS157" s="117"/>
      <c r="AT157" s="118"/>
      <c r="AU157" s="120">
        <v>4.0000000000000003E-5</v>
      </c>
      <c r="AV157" s="120">
        <v>4.0000000000000003E-5</v>
      </c>
      <c r="AW157" s="120">
        <v>4.0000000000000003E-5</v>
      </c>
      <c r="AX157" s="120">
        <v>4.0000000000000003E-5</v>
      </c>
      <c r="AY157" s="120">
        <v>4.0000000000000003E-5</v>
      </c>
      <c r="AZ157" s="120">
        <v>4.0000000000000003E-5</v>
      </c>
      <c r="BA157" s="120">
        <v>4.0000000000000003E-5</v>
      </c>
      <c r="BB157" s="120">
        <v>4.0000000000000003E-5</v>
      </c>
      <c r="BC157" s="120">
        <v>4.0000000000000003E-5</v>
      </c>
      <c r="BD157" s="120">
        <v>4.0000000000000003E-5</v>
      </c>
      <c r="BE157" s="120">
        <v>4.0000000000000003E-5</v>
      </c>
      <c r="BF157" s="120">
        <v>4.0000000000000003E-5</v>
      </c>
    </row>
    <row r="158" spans="1:58">
      <c r="A158" s="125"/>
      <c r="B158" s="125"/>
      <c r="C158" s="125"/>
      <c r="D158" s="10" t="s">
        <v>245</v>
      </c>
      <c r="E158" s="11">
        <v>0.1</v>
      </c>
      <c r="F158" s="13"/>
      <c r="G158" s="13">
        <v>10</v>
      </c>
      <c r="H158" s="14">
        <f>'[1]2014-Unv-Plan-Cascaded'!K156</f>
        <v>0.2</v>
      </c>
      <c r="I158" s="51">
        <v>0.01</v>
      </c>
      <c r="J158" s="52">
        <v>0.03</v>
      </c>
      <c r="K158" s="75">
        <v>6.0000000000000001E-3</v>
      </c>
      <c r="L158" s="75">
        <v>6.0000000000000001E-3</v>
      </c>
      <c r="M158" s="75">
        <v>6.0000000000000001E-3</v>
      </c>
      <c r="N158" s="75">
        <v>6.0000000000000001E-3</v>
      </c>
      <c r="O158" s="75">
        <v>6.0000000000000001E-3</v>
      </c>
      <c r="P158" s="17"/>
      <c r="Q158" s="117"/>
      <c r="R158" s="117"/>
      <c r="S158" s="117">
        <v>1.2500000000000001E-2</v>
      </c>
      <c r="T158" s="117">
        <v>1.2500000000000001E-2</v>
      </c>
      <c r="U158" s="117">
        <v>1.2500000000000001E-2</v>
      </c>
      <c r="V158" s="117">
        <v>1.2500000000000001E-2</v>
      </c>
      <c r="W158" s="118"/>
      <c r="X158" s="118"/>
      <c r="Y158" s="118"/>
      <c r="Z158" s="117"/>
      <c r="AA158" s="117"/>
      <c r="AB158" s="117"/>
      <c r="AC158" s="117"/>
      <c r="AD158" s="117"/>
      <c r="AE158" s="117"/>
      <c r="AF158" s="117"/>
      <c r="AG158" s="117"/>
      <c r="AH158" s="118"/>
      <c r="AI158" s="118"/>
      <c r="AJ158" s="118"/>
      <c r="AK158" s="118"/>
      <c r="AL158" s="117"/>
      <c r="AM158" s="117"/>
      <c r="AN158" s="117"/>
      <c r="AO158" s="117"/>
      <c r="AP158" s="117"/>
      <c r="AQ158" s="117"/>
      <c r="AR158" s="117"/>
      <c r="AS158" s="117"/>
      <c r="AT158" s="118"/>
      <c r="AU158" s="120">
        <v>4.0000000000000003E-5</v>
      </c>
      <c r="AV158" s="120">
        <v>4.0000000000000003E-5</v>
      </c>
      <c r="AW158" s="120">
        <v>4.0000000000000003E-5</v>
      </c>
      <c r="AX158" s="120">
        <v>4.0000000000000003E-5</v>
      </c>
      <c r="AY158" s="120">
        <v>4.0000000000000003E-5</v>
      </c>
      <c r="AZ158" s="120">
        <v>4.0000000000000003E-5</v>
      </c>
      <c r="BA158" s="120">
        <v>4.0000000000000003E-5</v>
      </c>
      <c r="BB158" s="120">
        <v>4.0000000000000003E-5</v>
      </c>
      <c r="BC158" s="120">
        <v>4.0000000000000003E-5</v>
      </c>
      <c r="BD158" s="120">
        <v>4.0000000000000003E-5</v>
      </c>
      <c r="BE158" s="120">
        <v>4.0000000000000003E-5</v>
      </c>
      <c r="BF158" s="120">
        <v>4.0000000000000003E-5</v>
      </c>
    </row>
    <row r="159" spans="1:58">
      <c r="A159" s="125"/>
      <c r="B159" s="125"/>
      <c r="C159" s="126"/>
      <c r="D159" s="86" t="s">
        <v>246</v>
      </c>
      <c r="E159" s="87">
        <v>0.1</v>
      </c>
      <c r="F159" s="88"/>
      <c r="G159" s="88">
        <v>60</v>
      </c>
      <c r="H159" s="89">
        <f>'[1]2014-Unv-Plan-Cascaded'!K157</f>
        <v>0.2</v>
      </c>
      <c r="I159" s="90">
        <v>0.02</v>
      </c>
      <c r="J159" s="91">
        <v>0.06</v>
      </c>
      <c r="K159" s="75">
        <v>1.2E-2</v>
      </c>
      <c r="L159" s="75">
        <v>1.2E-2</v>
      </c>
      <c r="M159" s="75">
        <v>1.2E-2</v>
      </c>
      <c r="N159" s="75">
        <v>1.2E-2</v>
      </c>
      <c r="O159" s="75">
        <v>1.2E-2</v>
      </c>
      <c r="P159" s="17"/>
      <c r="Q159" s="117"/>
      <c r="R159" s="117"/>
      <c r="S159" s="117">
        <v>1.2500000000000001E-2</v>
      </c>
      <c r="T159" s="117">
        <v>1.2500000000000001E-2</v>
      </c>
      <c r="U159" s="117">
        <v>1.2500000000000001E-2</v>
      </c>
      <c r="V159" s="117">
        <v>1.2500000000000001E-2</v>
      </c>
      <c r="W159" s="118"/>
      <c r="X159" s="118"/>
      <c r="Y159" s="118"/>
      <c r="Z159" s="117"/>
      <c r="AA159" s="117"/>
      <c r="AB159" s="117"/>
      <c r="AC159" s="117"/>
      <c r="AD159" s="117"/>
      <c r="AE159" s="117"/>
      <c r="AF159" s="117"/>
      <c r="AG159" s="117"/>
      <c r="AH159" s="118"/>
      <c r="AI159" s="118"/>
      <c r="AJ159" s="118"/>
      <c r="AK159" s="118"/>
      <c r="AL159" s="117"/>
      <c r="AM159" s="117"/>
      <c r="AN159" s="117"/>
      <c r="AO159" s="117"/>
      <c r="AP159" s="117"/>
      <c r="AQ159" s="117"/>
      <c r="AR159" s="117"/>
      <c r="AS159" s="117"/>
      <c r="AT159" s="118"/>
      <c r="AU159" s="120">
        <v>4.0000000000000003E-5</v>
      </c>
      <c r="AV159" s="120">
        <v>4.0000000000000003E-5</v>
      </c>
      <c r="AW159" s="120">
        <v>4.0000000000000003E-5</v>
      </c>
      <c r="AX159" s="120">
        <v>4.0000000000000003E-5</v>
      </c>
      <c r="AY159" s="120">
        <v>4.0000000000000003E-5</v>
      </c>
      <c r="AZ159" s="120">
        <v>4.0000000000000003E-5</v>
      </c>
      <c r="BA159" s="120">
        <v>4.0000000000000003E-5</v>
      </c>
      <c r="BB159" s="120">
        <v>4.0000000000000003E-5</v>
      </c>
      <c r="BC159" s="120">
        <v>4.0000000000000003E-5</v>
      </c>
      <c r="BD159" s="120">
        <v>4.0000000000000003E-5</v>
      </c>
      <c r="BE159" s="120">
        <v>4.0000000000000003E-5</v>
      </c>
      <c r="BF159" s="120">
        <v>4.0000000000000003E-5</v>
      </c>
    </row>
    <row r="160" spans="1:58" ht="25.5">
      <c r="A160" s="125"/>
      <c r="B160" s="125"/>
      <c r="C160" s="124" t="s">
        <v>247</v>
      </c>
      <c r="D160" s="10" t="s">
        <v>248</v>
      </c>
      <c r="E160" s="11">
        <v>1</v>
      </c>
      <c r="F160" s="13"/>
      <c r="G160" s="13">
        <v>35</v>
      </c>
      <c r="H160" s="14">
        <f>'[1]2014-Unv-Plan-Cascaded'!K158</f>
        <v>0.2</v>
      </c>
      <c r="I160" s="51">
        <v>0.02</v>
      </c>
      <c r="J160" s="52">
        <v>0.06</v>
      </c>
      <c r="K160" s="75">
        <v>1.2E-2</v>
      </c>
      <c r="L160" s="75">
        <v>1.2E-2</v>
      </c>
      <c r="M160" s="75">
        <v>1.2E-2</v>
      </c>
      <c r="N160" s="75">
        <v>1.2E-2</v>
      </c>
      <c r="O160" s="75">
        <v>1.2E-2</v>
      </c>
      <c r="P160" s="17"/>
      <c r="Q160" s="117"/>
      <c r="R160" s="117"/>
      <c r="S160" s="117">
        <v>0.125</v>
      </c>
      <c r="T160" s="117">
        <v>0.125</v>
      </c>
      <c r="U160" s="117">
        <v>0.125</v>
      </c>
      <c r="V160" s="117">
        <v>0.125</v>
      </c>
      <c r="W160" s="118"/>
      <c r="X160" s="118"/>
      <c r="Y160" s="118"/>
      <c r="Z160" s="117"/>
      <c r="AA160" s="117"/>
      <c r="AB160" s="117"/>
      <c r="AC160" s="117"/>
      <c r="AD160" s="117"/>
      <c r="AE160" s="117"/>
      <c r="AF160" s="117"/>
      <c r="AG160" s="117"/>
      <c r="AH160" s="118"/>
      <c r="AI160" s="118"/>
      <c r="AJ160" s="118"/>
      <c r="AK160" s="118"/>
      <c r="AL160" s="117"/>
      <c r="AM160" s="117"/>
      <c r="AN160" s="117"/>
      <c r="AO160" s="117"/>
      <c r="AP160" s="117"/>
      <c r="AQ160" s="117"/>
      <c r="AR160" s="117"/>
      <c r="AS160" s="117"/>
      <c r="AT160" s="118"/>
      <c r="AU160" s="118">
        <v>4.0999999999999999E-4</v>
      </c>
      <c r="AV160" s="118">
        <v>4.0999999999999999E-4</v>
      </c>
      <c r="AW160" s="118">
        <v>4.0999999999999999E-4</v>
      </c>
      <c r="AX160" s="118">
        <v>4.0999999999999999E-4</v>
      </c>
      <c r="AY160" s="118">
        <v>4.0999999999999999E-4</v>
      </c>
      <c r="AZ160" s="118">
        <v>4.0999999999999999E-4</v>
      </c>
      <c r="BA160" s="118">
        <v>4.0999999999999999E-4</v>
      </c>
      <c r="BB160" s="118">
        <v>4.0999999999999999E-4</v>
      </c>
      <c r="BC160" s="118">
        <v>4.0999999999999999E-4</v>
      </c>
      <c r="BD160" s="118">
        <v>4.0999999999999999E-4</v>
      </c>
      <c r="BE160" s="118">
        <v>4.0999999999999999E-4</v>
      </c>
      <c r="BF160" s="118">
        <v>4.0999999999999999E-4</v>
      </c>
    </row>
    <row r="161" spans="1:58" ht="25.5">
      <c r="A161" s="125"/>
      <c r="B161" s="125"/>
      <c r="C161" s="125"/>
      <c r="D161" s="10" t="s">
        <v>249</v>
      </c>
      <c r="E161" s="11">
        <v>0.5</v>
      </c>
      <c r="F161" s="13"/>
      <c r="G161" s="13">
        <v>1417</v>
      </c>
      <c r="H161" s="14">
        <f>'[1]2014-Unv-Plan-Cascaded'!K159</f>
        <v>0</v>
      </c>
      <c r="I161" s="51">
        <v>0.02</v>
      </c>
      <c r="J161" s="52">
        <v>0.06</v>
      </c>
      <c r="K161" s="75">
        <v>1.2E-2</v>
      </c>
      <c r="L161" s="75">
        <v>1.2E-2</v>
      </c>
      <c r="M161" s="75">
        <v>1.2E-2</v>
      </c>
      <c r="N161" s="75">
        <v>1.2E-2</v>
      </c>
      <c r="O161" s="75">
        <v>1.2E-2</v>
      </c>
      <c r="P161" s="17"/>
      <c r="Q161" s="117"/>
      <c r="R161" s="117"/>
      <c r="S161" s="118">
        <v>3.1E-4</v>
      </c>
      <c r="T161" s="118">
        <v>3.1E-4</v>
      </c>
      <c r="U161" s="118">
        <v>3.1E-4</v>
      </c>
      <c r="V161" s="118">
        <v>3.1E-4</v>
      </c>
      <c r="W161" s="118">
        <v>1E-4</v>
      </c>
      <c r="X161" s="118">
        <v>1E-4</v>
      </c>
      <c r="Y161" s="118">
        <v>1E-4</v>
      </c>
      <c r="Z161" s="118">
        <v>1E-4</v>
      </c>
      <c r="AA161" s="118">
        <v>1E-4</v>
      </c>
      <c r="AB161" s="118">
        <v>1E-4</v>
      </c>
      <c r="AC161" s="118">
        <v>1E-4</v>
      </c>
      <c r="AD161" s="118">
        <v>1E-4</v>
      </c>
      <c r="AE161" s="118">
        <v>1E-4</v>
      </c>
      <c r="AF161" s="118">
        <v>1E-4</v>
      </c>
      <c r="AG161" s="118">
        <v>1E-4</v>
      </c>
      <c r="AH161" s="118">
        <v>1E-4</v>
      </c>
      <c r="AI161" s="118">
        <v>1E-4</v>
      </c>
      <c r="AJ161" s="118">
        <v>1E-4</v>
      </c>
      <c r="AK161" s="118">
        <v>1E-4</v>
      </c>
      <c r="AL161" s="118">
        <v>1E-4</v>
      </c>
      <c r="AM161" s="118">
        <v>1E-4</v>
      </c>
      <c r="AN161" s="118">
        <v>1E-4</v>
      </c>
      <c r="AO161" s="118">
        <v>1E-4</v>
      </c>
      <c r="AP161" s="118">
        <v>1E-4</v>
      </c>
      <c r="AQ161" s="118">
        <v>1E-4</v>
      </c>
      <c r="AR161" s="118">
        <v>1E-4</v>
      </c>
      <c r="AS161" s="118">
        <v>1E-4</v>
      </c>
      <c r="AT161" s="118">
        <v>1E-4</v>
      </c>
      <c r="AU161" s="118">
        <v>1E-4</v>
      </c>
      <c r="AV161" s="118">
        <v>1E-4</v>
      </c>
      <c r="AW161" s="118">
        <v>1E-4</v>
      </c>
      <c r="AX161" s="118">
        <v>1E-4</v>
      </c>
      <c r="AY161" s="118">
        <v>1E-4</v>
      </c>
      <c r="AZ161" s="118">
        <v>1E-4</v>
      </c>
      <c r="BA161" s="118">
        <v>1E-4</v>
      </c>
      <c r="BB161" s="118">
        <v>1E-4</v>
      </c>
      <c r="BC161" s="118">
        <v>1E-4</v>
      </c>
      <c r="BD161" s="118">
        <v>1E-4</v>
      </c>
      <c r="BE161" s="118">
        <v>1E-4</v>
      </c>
      <c r="BF161" s="118">
        <v>1E-4</v>
      </c>
    </row>
    <row r="162" spans="1:58" ht="25.5">
      <c r="A162" s="125"/>
      <c r="B162" s="125"/>
      <c r="C162" s="125"/>
      <c r="D162" s="10" t="s">
        <v>250</v>
      </c>
      <c r="E162" s="11">
        <v>0.25</v>
      </c>
      <c r="F162" s="13"/>
      <c r="G162" s="13">
        <v>24</v>
      </c>
      <c r="H162" s="14">
        <f>'[1]2014-Unv-Plan-Cascaded'!K160</f>
        <v>0</v>
      </c>
      <c r="I162" s="51"/>
      <c r="J162" s="52">
        <v>0</v>
      </c>
      <c r="K162" s="53"/>
      <c r="L162" s="54"/>
      <c r="M162" s="54"/>
      <c r="N162" s="29"/>
      <c r="O162" s="29"/>
      <c r="P162" s="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  <c r="AW162" s="117"/>
      <c r="AX162" s="117"/>
      <c r="AY162" s="117"/>
      <c r="AZ162" s="117"/>
      <c r="BA162" s="117"/>
      <c r="BB162" s="117"/>
      <c r="BC162" s="117"/>
      <c r="BD162" s="117"/>
      <c r="BE162" s="117"/>
      <c r="BF162" s="117"/>
    </row>
    <row r="163" spans="1:58" ht="25.5">
      <c r="A163" s="125"/>
      <c r="B163" s="125"/>
      <c r="C163" s="125"/>
      <c r="D163" s="10" t="s">
        <v>251</v>
      </c>
      <c r="E163" s="11">
        <v>0.25</v>
      </c>
      <c r="F163" s="13"/>
      <c r="G163" s="13">
        <v>50</v>
      </c>
      <c r="H163" s="14">
        <f>'[1]2014-Unv-Plan-Cascaded'!K161</f>
        <v>0</v>
      </c>
      <c r="I163" s="51"/>
      <c r="J163" s="52">
        <v>0</v>
      </c>
      <c r="K163" s="53"/>
      <c r="L163" s="54"/>
      <c r="M163" s="54"/>
      <c r="N163" s="29"/>
      <c r="O163" s="29"/>
      <c r="P163" s="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17"/>
      <c r="BF163" s="117"/>
    </row>
    <row r="164" spans="1:58" ht="25.5">
      <c r="A164" s="125"/>
      <c r="B164" s="125"/>
      <c r="C164" s="125"/>
      <c r="D164" s="10" t="s">
        <v>252</v>
      </c>
      <c r="E164" s="11">
        <v>0.1</v>
      </c>
      <c r="F164" s="13"/>
      <c r="G164" s="13">
        <v>30</v>
      </c>
      <c r="H164" s="14">
        <f>'[1]2014-Unv-Plan-Cascaded'!K162</f>
        <v>0</v>
      </c>
      <c r="I164" s="51"/>
      <c r="J164" s="52">
        <v>0</v>
      </c>
      <c r="K164" s="53"/>
      <c r="L164" s="54"/>
      <c r="M164" s="54"/>
      <c r="N164" s="29"/>
      <c r="O164" s="29"/>
      <c r="P164" s="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7"/>
      <c r="BA164" s="117"/>
      <c r="BB164" s="117"/>
      <c r="BC164" s="117"/>
      <c r="BD164" s="117"/>
      <c r="BE164" s="117"/>
      <c r="BF164" s="117"/>
    </row>
    <row r="165" spans="1:58" ht="25.5">
      <c r="A165" s="125"/>
      <c r="B165" s="125"/>
      <c r="C165" s="125"/>
      <c r="D165" s="10" t="s">
        <v>253</v>
      </c>
      <c r="E165" s="11">
        <v>0.5</v>
      </c>
      <c r="F165" s="13"/>
      <c r="G165" s="13">
        <v>26</v>
      </c>
      <c r="H165" s="14">
        <f>'[1]2014-Unv-Plan-Cascaded'!K163</f>
        <v>0</v>
      </c>
      <c r="I165" s="51"/>
      <c r="J165" s="52">
        <v>0</v>
      </c>
      <c r="K165" s="53"/>
      <c r="L165" s="54"/>
      <c r="M165" s="54"/>
      <c r="N165" s="29"/>
      <c r="O165" s="29"/>
      <c r="P165" s="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C165" s="117"/>
      <c r="BD165" s="117"/>
      <c r="BE165" s="117"/>
      <c r="BF165" s="117"/>
    </row>
    <row r="166" spans="1:58" ht="25.5">
      <c r="A166" s="125"/>
      <c r="B166" s="125"/>
      <c r="C166" s="125"/>
      <c r="D166" s="10" t="s">
        <v>254</v>
      </c>
      <c r="E166" s="11">
        <v>0.5</v>
      </c>
      <c r="F166" s="13"/>
      <c r="G166" s="13">
        <v>45</v>
      </c>
      <c r="H166" s="14">
        <f>'[1]2014-Unv-Plan-Cascaded'!K164</f>
        <v>0</v>
      </c>
      <c r="I166" s="51"/>
      <c r="J166" s="52">
        <v>0</v>
      </c>
      <c r="K166" s="53"/>
      <c r="L166" s="54"/>
      <c r="M166" s="54"/>
      <c r="N166" s="29"/>
      <c r="O166" s="29"/>
      <c r="P166" s="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  <c r="AW166" s="117"/>
      <c r="AX166" s="117"/>
      <c r="AY166" s="117"/>
      <c r="AZ166" s="117"/>
      <c r="BA166" s="117"/>
      <c r="BB166" s="117"/>
      <c r="BC166" s="117"/>
      <c r="BD166" s="117"/>
      <c r="BE166" s="117"/>
      <c r="BF166" s="117"/>
    </row>
    <row r="167" spans="1:58">
      <c r="A167" s="125"/>
      <c r="B167" s="125"/>
      <c r="C167" s="126"/>
      <c r="D167" s="10" t="s">
        <v>255</v>
      </c>
      <c r="E167" s="11">
        <v>0</v>
      </c>
      <c r="F167" s="13"/>
      <c r="G167" s="13"/>
      <c r="H167" s="14">
        <f>'[1]2014-Unv-Plan-Cascaded'!K165</f>
        <v>0</v>
      </c>
      <c r="I167" s="51"/>
      <c r="J167" s="52">
        <v>0</v>
      </c>
      <c r="K167" s="53"/>
      <c r="L167" s="54"/>
      <c r="M167" s="54"/>
      <c r="N167" s="29"/>
      <c r="O167" s="29"/>
      <c r="P167" s="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17"/>
      <c r="BF167" s="117"/>
    </row>
    <row r="168" spans="1:58">
      <c r="A168" s="125"/>
      <c r="B168" s="125"/>
      <c r="C168" s="127" t="s">
        <v>256</v>
      </c>
      <c r="D168" s="10" t="s">
        <v>257</v>
      </c>
      <c r="E168" s="11">
        <v>0.1</v>
      </c>
      <c r="F168" s="13"/>
      <c r="G168" s="13">
        <v>30</v>
      </c>
      <c r="H168" s="14">
        <f>'[1]2014-Unv-Plan-Cascaded'!K166</f>
        <v>0</v>
      </c>
      <c r="I168" s="51"/>
      <c r="J168" s="52">
        <v>0</v>
      </c>
      <c r="K168" s="53"/>
      <c r="L168" s="54"/>
      <c r="M168" s="54"/>
      <c r="N168" s="29"/>
      <c r="O168" s="29"/>
      <c r="P168" s="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17"/>
      <c r="BA168" s="117"/>
      <c r="BB168" s="117"/>
      <c r="BC168" s="117"/>
      <c r="BD168" s="117"/>
      <c r="BE168" s="117"/>
      <c r="BF168" s="117"/>
    </row>
    <row r="169" spans="1:58">
      <c r="A169" s="125"/>
      <c r="B169" s="125"/>
      <c r="C169" s="125"/>
      <c r="D169" s="10" t="s">
        <v>258</v>
      </c>
      <c r="E169" s="11">
        <v>0.1</v>
      </c>
      <c r="F169" s="13"/>
      <c r="G169" s="13">
        <v>20</v>
      </c>
      <c r="H169" s="14">
        <f>'[1]2014-Unv-Plan-Cascaded'!K167</f>
        <v>0</v>
      </c>
      <c r="I169" s="51"/>
      <c r="J169" s="52">
        <v>0</v>
      </c>
      <c r="K169" s="53"/>
      <c r="L169" s="54"/>
      <c r="M169" s="54"/>
      <c r="N169" s="29"/>
      <c r="O169" s="29"/>
      <c r="P169" s="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  <c r="AW169" s="117"/>
      <c r="AX169" s="117"/>
      <c r="AY169" s="117"/>
      <c r="AZ169" s="117"/>
      <c r="BA169" s="117"/>
      <c r="BB169" s="117"/>
      <c r="BC169" s="117"/>
      <c r="BD169" s="117"/>
      <c r="BE169" s="117"/>
      <c r="BF169" s="117"/>
    </row>
    <row r="170" spans="1:58" ht="25.5">
      <c r="A170" s="125"/>
      <c r="B170" s="126"/>
      <c r="C170" s="126"/>
      <c r="D170" s="10" t="s">
        <v>259</v>
      </c>
      <c r="E170" s="62">
        <v>0.1</v>
      </c>
      <c r="F170" s="72"/>
      <c r="G170" s="72">
        <v>21</v>
      </c>
      <c r="H170" s="14">
        <f>'[1]2014-Unv-Plan-Cascaded'!K168</f>
        <v>0</v>
      </c>
      <c r="I170" s="51"/>
      <c r="J170" s="52">
        <v>0</v>
      </c>
      <c r="K170" s="53"/>
      <c r="L170" s="54"/>
      <c r="M170" s="54"/>
      <c r="N170" s="29"/>
      <c r="O170" s="29"/>
      <c r="P170" s="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  <c r="AW170" s="117"/>
      <c r="AX170" s="117"/>
      <c r="AY170" s="117"/>
      <c r="AZ170" s="117"/>
      <c r="BA170" s="117"/>
      <c r="BB170" s="117"/>
      <c r="BC170" s="117"/>
      <c r="BD170" s="117"/>
      <c r="BE170" s="117"/>
      <c r="BF170" s="117"/>
    </row>
    <row r="171" spans="1:58" ht="25.5">
      <c r="A171" s="125"/>
      <c r="B171" s="124" t="s">
        <v>260</v>
      </c>
      <c r="C171" s="31" t="s">
        <v>261</v>
      </c>
      <c r="D171" s="10" t="s">
        <v>262</v>
      </c>
      <c r="E171" s="62">
        <v>0.5</v>
      </c>
      <c r="F171" s="72"/>
      <c r="G171" s="72">
        <v>165</v>
      </c>
      <c r="H171" s="14">
        <f>'[1]2014-Unv-Plan-Cascaded'!K169</f>
        <v>0</v>
      </c>
      <c r="I171" s="51"/>
      <c r="J171" s="52">
        <v>0</v>
      </c>
      <c r="K171" s="53"/>
      <c r="L171" s="54"/>
      <c r="M171" s="54"/>
      <c r="N171" s="29"/>
      <c r="O171" s="29"/>
      <c r="P171" s="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/>
      <c r="AZ171" s="117"/>
      <c r="BA171" s="117"/>
      <c r="BB171" s="117"/>
      <c r="BC171" s="117"/>
      <c r="BD171" s="117"/>
      <c r="BE171" s="117"/>
      <c r="BF171" s="117"/>
    </row>
    <row r="172" spans="1:58">
      <c r="A172" s="125"/>
      <c r="B172" s="125"/>
      <c r="C172" s="31" t="s">
        <v>263</v>
      </c>
      <c r="D172" s="10" t="s">
        <v>264</v>
      </c>
      <c r="E172" s="62">
        <v>0.5</v>
      </c>
      <c r="F172" s="72"/>
      <c r="G172" s="72">
        <v>15</v>
      </c>
      <c r="H172" s="14">
        <f>'[1]2014-Unv-Plan-Cascaded'!K170</f>
        <v>0.1</v>
      </c>
      <c r="I172" s="51"/>
      <c r="J172" s="52">
        <v>0</v>
      </c>
      <c r="K172" s="53"/>
      <c r="L172" s="54"/>
      <c r="M172" s="54"/>
      <c r="N172" s="29"/>
      <c r="O172" s="29"/>
      <c r="P172" s="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7"/>
      <c r="AW172" s="117"/>
      <c r="AX172" s="117"/>
      <c r="AY172" s="117"/>
      <c r="AZ172" s="117"/>
      <c r="BA172" s="117"/>
      <c r="BB172" s="117"/>
      <c r="BC172" s="117"/>
      <c r="BD172" s="117"/>
      <c r="BE172" s="117"/>
      <c r="BF172" s="117"/>
    </row>
    <row r="173" spans="1:58">
      <c r="A173" s="125"/>
      <c r="B173" s="125"/>
      <c r="C173" s="31" t="s">
        <v>265</v>
      </c>
      <c r="D173" s="10" t="s">
        <v>266</v>
      </c>
      <c r="E173" s="62">
        <v>0.5</v>
      </c>
      <c r="F173" s="72"/>
      <c r="G173" s="72"/>
      <c r="H173" s="14">
        <f>'[1]2014-Unv-Plan-Cascaded'!K171</f>
        <v>0</v>
      </c>
      <c r="I173" s="51">
        <v>0.06</v>
      </c>
      <c r="J173" s="52">
        <v>0.02</v>
      </c>
      <c r="K173" s="75">
        <v>4.0000000000000001E-3</v>
      </c>
      <c r="L173" s="75">
        <v>4.0000000000000001E-3</v>
      </c>
      <c r="M173" s="75">
        <v>4.0000000000000001E-3</v>
      </c>
      <c r="N173" s="75">
        <v>4.0000000000000001E-3</v>
      </c>
      <c r="O173" s="75">
        <v>4.0000000000000001E-3</v>
      </c>
      <c r="P173" s="17"/>
      <c r="Q173" s="117"/>
      <c r="R173" s="117"/>
      <c r="S173" s="118">
        <v>3.1E-4</v>
      </c>
      <c r="T173" s="118">
        <v>3.1E-4</v>
      </c>
      <c r="U173" s="118">
        <v>3.1E-4</v>
      </c>
      <c r="V173" s="118">
        <v>3.1E-4</v>
      </c>
      <c r="W173" s="118">
        <v>1E-4</v>
      </c>
      <c r="X173" s="118">
        <v>1E-4</v>
      </c>
      <c r="Y173" s="118">
        <v>1E-4</v>
      </c>
      <c r="Z173" s="118">
        <v>1E-4</v>
      </c>
      <c r="AA173" s="118">
        <v>1E-4</v>
      </c>
      <c r="AB173" s="118">
        <v>1E-4</v>
      </c>
      <c r="AC173" s="118">
        <v>1E-4</v>
      </c>
      <c r="AD173" s="118">
        <v>1E-4</v>
      </c>
      <c r="AE173" s="118">
        <v>1E-4</v>
      </c>
      <c r="AF173" s="118">
        <v>1E-4</v>
      </c>
      <c r="AG173" s="118">
        <v>1E-4</v>
      </c>
      <c r="AH173" s="118">
        <v>1E-4</v>
      </c>
      <c r="AI173" s="118">
        <v>1E-4</v>
      </c>
      <c r="AJ173" s="118">
        <v>1E-4</v>
      </c>
      <c r="AK173" s="118">
        <v>1E-4</v>
      </c>
      <c r="AL173" s="118">
        <v>1E-4</v>
      </c>
      <c r="AM173" s="118">
        <v>1E-4</v>
      </c>
      <c r="AN173" s="118">
        <v>1E-4</v>
      </c>
      <c r="AO173" s="118">
        <v>1E-4</v>
      </c>
      <c r="AP173" s="118">
        <v>1E-4</v>
      </c>
      <c r="AQ173" s="118">
        <v>1E-4</v>
      </c>
      <c r="AR173" s="118">
        <v>1E-4</v>
      </c>
      <c r="AS173" s="118">
        <v>1E-4</v>
      </c>
      <c r="AT173" s="118">
        <v>1E-4</v>
      </c>
      <c r="AU173" s="118">
        <v>1E-4</v>
      </c>
      <c r="AV173" s="118">
        <v>1E-4</v>
      </c>
      <c r="AW173" s="118">
        <v>1E-4</v>
      </c>
      <c r="AX173" s="118">
        <v>1E-4</v>
      </c>
      <c r="AY173" s="118">
        <v>1E-4</v>
      </c>
      <c r="AZ173" s="118">
        <v>1E-4</v>
      </c>
      <c r="BA173" s="118">
        <v>1E-4</v>
      </c>
      <c r="BB173" s="118">
        <v>1E-4</v>
      </c>
      <c r="BC173" s="118">
        <v>1E-4</v>
      </c>
      <c r="BD173" s="118">
        <v>1E-4</v>
      </c>
      <c r="BE173" s="118">
        <v>1E-4</v>
      </c>
      <c r="BF173" s="118">
        <v>1E-4</v>
      </c>
    </row>
    <row r="174" spans="1:58">
      <c r="A174" s="125"/>
      <c r="B174" s="126"/>
      <c r="C174" s="31" t="s">
        <v>267</v>
      </c>
      <c r="D174" s="10" t="s">
        <v>268</v>
      </c>
      <c r="E174" s="62">
        <v>0.5</v>
      </c>
      <c r="F174" s="72"/>
      <c r="G174" s="72">
        <v>15</v>
      </c>
      <c r="H174" s="14">
        <f>'[1]2014-Unv-Plan-Cascaded'!K172</f>
        <v>0.1</v>
      </c>
      <c r="I174" s="51"/>
      <c r="J174" s="52">
        <v>0</v>
      </c>
      <c r="K174" s="53"/>
      <c r="L174" s="54"/>
      <c r="M174" s="54"/>
      <c r="N174" s="29"/>
      <c r="O174" s="29"/>
      <c r="P174" s="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/>
      <c r="BB174" s="117"/>
      <c r="BC174" s="117"/>
      <c r="BD174" s="117"/>
      <c r="BE174" s="117"/>
      <c r="BF174" s="117"/>
    </row>
    <row r="175" spans="1:58">
      <c r="A175" s="125"/>
      <c r="B175" s="124" t="s">
        <v>269</v>
      </c>
      <c r="C175" s="124" t="s">
        <v>270</v>
      </c>
      <c r="D175" s="10" t="s">
        <v>271</v>
      </c>
      <c r="E175" s="62">
        <v>1.25</v>
      </c>
      <c r="F175" s="72"/>
      <c r="G175" s="72">
        <v>3</v>
      </c>
      <c r="H175" s="14">
        <f>'[1]2014-Unv-Plan-Cascaded'!K173</f>
        <v>0.1</v>
      </c>
      <c r="I175" s="51">
        <v>0.02</v>
      </c>
      <c r="J175" s="52">
        <v>0.02</v>
      </c>
      <c r="K175" s="75">
        <v>5.0000000000000001E-3</v>
      </c>
      <c r="L175" s="76">
        <v>5.0000000000000001E-3</v>
      </c>
      <c r="M175" s="76">
        <v>0</v>
      </c>
      <c r="N175" s="77">
        <v>5.0000000000000001E-3</v>
      </c>
      <c r="O175" s="77">
        <v>5.0000000000000001E-3</v>
      </c>
      <c r="P175" s="17"/>
      <c r="Q175" s="117"/>
      <c r="R175" s="117"/>
      <c r="S175" s="117">
        <v>7.8E-2</v>
      </c>
      <c r="T175" s="117">
        <v>7.8E-2</v>
      </c>
      <c r="U175" s="117">
        <v>7.8E-2</v>
      </c>
      <c r="V175" s="117">
        <v>7.8E-2</v>
      </c>
      <c r="W175" s="120">
        <v>2.5999999999999998E-4</v>
      </c>
      <c r="X175" s="120">
        <v>2.5999999999999998E-4</v>
      </c>
      <c r="Y175" s="120">
        <v>2.5999999999999998E-4</v>
      </c>
      <c r="Z175" s="120">
        <v>2.5999999999999998E-4</v>
      </c>
      <c r="AA175" s="120">
        <v>2.5999999999999998E-4</v>
      </c>
      <c r="AB175" s="120">
        <v>2.5999999999999998E-4</v>
      </c>
      <c r="AC175" s="120">
        <v>2.5999999999999998E-4</v>
      </c>
      <c r="AD175" s="120">
        <v>2.5999999999999998E-4</v>
      </c>
      <c r="AE175" s="120">
        <v>2.5999999999999998E-4</v>
      </c>
      <c r="AF175" s="120">
        <v>2.5999999999999998E-4</v>
      </c>
      <c r="AG175" s="120">
        <v>2.5999999999999998E-4</v>
      </c>
      <c r="AH175" s="120">
        <v>2.5999999999999998E-4</v>
      </c>
      <c r="AI175" s="120">
        <v>2.5999999999999998E-4</v>
      </c>
      <c r="AJ175" s="120">
        <v>2.5999999999999998E-4</v>
      </c>
      <c r="AK175" s="120">
        <v>2.5999999999999998E-4</v>
      </c>
      <c r="AL175" s="120">
        <v>2.5999999999999998E-4</v>
      </c>
      <c r="AM175" s="120">
        <v>2.5999999999999998E-4</v>
      </c>
      <c r="AN175" s="120">
        <v>2.5999999999999998E-4</v>
      </c>
      <c r="AO175" s="120">
        <v>2.5999999999999998E-4</v>
      </c>
      <c r="AP175" s="120">
        <v>2.5999999999999998E-4</v>
      </c>
      <c r="AQ175" s="120">
        <v>2.5999999999999998E-4</v>
      </c>
      <c r="AR175" s="120">
        <v>2.5999999999999998E-4</v>
      </c>
      <c r="AS175" s="120">
        <v>2.5999999999999998E-4</v>
      </c>
      <c r="AT175" s="120">
        <v>2.5999999999999998E-4</v>
      </c>
      <c r="AU175" s="120">
        <v>2.5999999999999998E-4</v>
      </c>
      <c r="AV175" s="120">
        <v>2.5999999999999998E-4</v>
      </c>
      <c r="AW175" s="120">
        <v>2.5999999999999998E-4</v>
      </c>
      <c r="AX175" s="120">
        <v>2.5999999999999998E-4</v>
      </c>
      <c r="AY175" s="120">
        <v>2.5999999999999998E-4</v>
      </c>
      <c r="AZ175" s="120">
        <v>2.5999999999999998E-4</v>
      </c>
      <c r="BA175" s="120">
        <v>2.5999999999999998E-4</v>
      </c>
      <c r="BB175" s="120">
        <v>2.5999999999999998E-4</v>
      </c>
      <c r="BC175" s="120">
        <v>2.5999999999999998E-4</v>
      </c>
      <c r="BD175" s="120">
        <v>2.5999999999999998E-4</v>
      </c>
      <c r="BE175" s="120">
        <v>2.5999999999999998E-4</v>
      </c>
      <c r="BF175" s="120">
        <v>2.5999999999999998E-4</v>
      </c>
    </row>
    <row r="176" spans="1:58">
      <c r="A176" s="125"/>
      <c r="B176" s="125"/>
      <c r="C176" s="125"/>
      <c r="D176" s="10" t="s">
        <v>272</v>
      </c>
      <c r="E176" s="62">
        <v>1.25</v>
      </c>
      <c r="F176" s="72"/>
      <c r="G176" s="72">
        <v>104</v>
      </c>
      <c r="H176" s="14">
        <f>'[1]2014-Unv-Plan-Cascaded'!K174</f>
        <v>0.1</v>
      </c>
      <c r="I176" s="51">
        <v>0.02</v>
      </c>
      <c r="J176" s="52">
        <v>0.02</v>
      </c>
      <c r="K176" s="75">
        <v>5.0000000000000001E-3</v>
      </c>
      <c r="L176" s="76">
        <v>5.0000000000000001E-3</v>
      </c>
      <c r="M176" s="76">
        <v>0</v>
      </c>
      <c r="N176" s="77">
        <v>5.0000000000000001E-3</v>
      </c>
      <c r="O176" s="77">
        <v>5.0000000000000001E-3</v>
      </c>
      <c r="P176" s="17"/>
      <c r="Q176" s="117"/>
      <c r="R176" s="117"/>
      <c r="S176" s="117">
        <v>7.8E-2</v>
      </c>
      <c r="T176" s="117">
        <v>7.8E-2</v>
      </c>
      <c r="U176" s="117">
        <v>7.8E-2</v>
      </c>
      <c r="V176" s="117">
        <v>7.8E-2</v>
      </c>
      <c r="W176" s="120">
        <v>2.5999999999999998E-4</v>
      </c>
      <c r="X176" s="120">
        <v>2.5999999999999998E-4</v>
      </c>
      <c r="Y176" s="120">
        <v>2.5999999999999998E-4</v>
      </c>
      <c r="Z176" s="120">
        <v>2.5999999999999998E-4</v>
      </c>
      <c r="AA176" s="120">
        <v>2.5999999999999998E-4</v>
      </c>
      <c r="AB176" s="120">
        <v>2.5999999999999998E-4</v>
      </c>
      <c r="AC176" s="120">
        <v>2.5999999999999998E-4</v>
      </c>
      <c r="AD176" s="120">
        <v>2.5999999999999998E-4</v>
      </c>
      <c r="AE176" s="120">
        <v>2.5999999999999998E-4</v>
      </c>
      <c r="AF176" s="120">
        <v>2.5999999999999998E-4</v>
      </c>
      <c r="AG176" s="120">
        <v>2.5999999999999998E-4</v>
      </c>
      <c r="AH176" s="120">
        <v>2.5999999999999998E-4</v>
      </c>
      <c r="AI176" s="120">
        <v>2.5999999999999998E-4</v>
      </c>
      <c r="AJ176" s="120">
        <v>2.5999999999999998E-4</v>
      </c>
      <c r="AK176" s="120">
        <v>2.5999999999999998E-4</v>
      </c>
      <c r="AL176" s="120">
        <v>2.5999999999999998E-4</v>
      </c>
      <c r="AM176" s="120">
        <v>2.5999999999999998E-4</v>
      </c>
      <c r="AN176" s="120">
        <v>2.5999999999999998E-4</v>
      </c>
      <c r="AO176" s="120">
        <v>2.5999999999999998E-4</v>
      </c>
      <c r="AP176" s="120">
        <v>2.5999999999999998E-4</v>
      </c>
      <c r="AQ176" s="120">
        <v>2.5999999999999998E-4</v>
      </c>
      <c r="AR176" s="120">
        <v>2.5999999999999998E-4</v>
      </c>
      <c r="AS176" s="120">
        <v>2.5999999999999998E-4</v>
      </c>
      <c r="AT176" s="120">
        <v>2.5999999999999998E-4</v>
      </c>
      <c r="AU176" s="120">
        <v>2.5999999999999998E-4</v>
      </c>
      <c r="AV176" s="120">
        <v>2.5999999999999998E-4</v>
      </c>
      <c r="AW176" s="120">
        <v>2.5999999999999998E-4</v>
      </c>
      <c r="AX176" s="120">
        <v>2.5999999999999998E-4</v>
      </c>
      <c r="AY176" s="120">
        <v>2.5999999999999998E-4</v>
      </c>
      <c r="AZ176" s="120">
        <v>2.5999999999999998E-4</v>
      </c>
      <c r="BA176" s="120">
        <v>2.5999999999999998E-4</v>
      </c>
      <c r="BB176" s="120">
        <v>2.5999999999999998E-4</v>
      </c>
      <c r="BC176" s="120">
        <v>2.5999999999999998E-4</v>
      </c>
      <c r="BD176" s="120">
        <v>2.5999999999999998E-4</v>
      </c>
      <c r="BE176" s="120">
        <v>2.5999999999999998E-4</v>
      </c>
      <c r="BF176" s="120">
        <v>2.5999999999999998E-4</v>
      </c>
    </row>
    <row r="177" spans="1:58">
      <c r="A177" s="125"/>
      <c r="B177" s="125"/>
      <c r="C177" s="125"/>
      <c r="D177" s="10" t="s">
        <v>273</v>
      </c>
      <c r="E177" s="92">
        <v>1.25</v>
      </c>
      <c r="F177" s="93"/>
      <c r="G177" s="93">
        <v>6</v>
      </c>
      <c r="H177" s="14">
        <f>'[1]2014-Unv-Plan-Cascaded'!K175</f>
        <v>0.1</v>
      </c>
      <c r="I177" s="51">
        <v>0.02</v>
      </c>
      <c r="J177" s="52">
        <v>0.02</v>
      </c>
      <c r="K177" s="75">
        <v>5.0000000000000001E-3</v>
      </c>
      <c r="L177" s="76">
        <v>5.0000000000000001E-3</v>
      </c>
      <c r="M177" s="76">
        <v>0</v>
      </c>
      <c r="N177" s="77">
        <v>5.0000000000000001E-3</v>
      </c>
      <c r="O177" s="77">
        <v>5.0000000000000001E-3</v>
      </c>
      <c r="P177" s="17"/>
      <c r="Q177" s="117"/>
      <c r="R177" s="117"/>
      <c r="S177" s="117">
        <v>7.8E-2</v>
      </c>
      <c r="T177" s="117">
        <v>7.8E-2</v>
      </c>
      <c r="U177" s="117">
        <v>7.8E-2</v>
      </c>
      <c r="V177" s="117">
        <v>7.8E-2</v>
      </c>
      <c r="W177" s="120">
        <v>2.5999999999999998E-4</v>
      </c>
      <c r="X177" s="120">
        <v>2.5999999999999998E-4</v>
      </c>
      <c r="Y177" s="120">
        <v>2.5999999999999998E-4</v>
      </c>
      <c r="Z177" s="120">
        <v>2.5999999999999998E-4</v>
      </c>
      <c r="AA177" s="120">
        <v>2.5999999999999998E-4</v>
      </c>
      <c r="AB177" s="120">
        <v>2.5999999999999998E-4</v>
      </c>
      <c r="AC177" s="120">
        <v>2.5999999999999998E-4</v>
      </c>
      <c r="AD177" s="120">
        <v>2.5999999999999998E-4</v>
      </c>
      <c r="AE177" s="120">
        <v>2.5999999999999998E-4</v>
      </c>
      <c r="AF177" s="120">
        <v>2.5999999999999998E-4</v>
      </c>
      <c r="AG177" s="120">
        <v>2.5999999999999998E-4</v>
      </c>
      <c r="AH177" s="120">
        <v>2.5999999999999998E-4</v>
      </c>
      <c r="AI177" s="120">
        <v>2.5999999999999998E-4</v>
      </c>
      <c r="AJ177" s="120">
        <v>2.5999999999999998E-4</v>
      </c>
      <c r="AK177" s="120">
        <v>2.5999999999999998E-4</v>
      </c>
      <c r="AL177" s="120">
        <v>2.5999999999999998E-4</v>
      </c>
      <c r="AM177" s="120">
        <v>2.5999999999999998E-4</v>
      </c>
      <c r="AN177" s="120">
        <v>2.5999999999999998E-4</v>
      </c>
      <c r="AO177" s="120">
        <v>2.5999999999999998E-4</v>
      </c>
      <c r="AP177" s="120">
        <v>2.5999999999999998E-4</v>
      </c>
      <c r="AQ177" s="120">
        <v>2.5999999999999998E-4</v>
      </c>
      <c r="AR177" s="120">
        <v>2.5999999999999998E-4</v>
      </c>
      <c r="AS177" s="120">
        <v>2.5999999999999998E-4</v>
      </c>
      <c r="AT177" s="120">
        <v>2.5999999999999998E-4</v>
      </c>
      <c r="AU177" s="120">
        <v>2.5999999999999998E-4</v>
      </c>
      <c r="AV177" s="120">
        <v>2.5999999999999998E-4</v>
      </c>
      <c r="AW177" s="120">
        <v>2.5999999999999998E-4</v>
      </c>
      <c r="AX177" s="120">
        <v>2.5999999999999998E-4</v>
      </c>
      <c r="AY177" s="120">
        <v>2.5999999999999998E-4</v>
      </c>
      <c r="AZ177" s="120">
        <v>2.5999999999999998E-4</v>
      </c>
      <c r="BA177" s="120">
        <v>2.5999999999999998E-4</v>
      </c>
      <c r="BB177" s="120">
        <v>2.5999999999999998E-4</v>
      </c>
      <c r="BC177" s="120">
        <v>2.5999999999999998E-4</v>
      </c>
      <c r="BD177" s="120">
        <v>2.5999999999999998E-4</v>
      </c>
      <c r="BE177" s="120">
        <v>2.5999999999999998E-4</v>
      </c>
      <c r="BF177" s="120">
        <v>2.5999999999999998E-4</v>
      </c>
    </row>
    <row r="178" spans="1:58">
      <c r="A178" s="125"/>
      <c r="B178" s="125"/>
      <c r="C178" s="125"/>
      <c r="D178" s="10" t="s">
        <v>274</v>
      </c>
      <c r="E178" s="92">
        <v>1.25</v>
      </c>
      <c r="F178" s="93"/>
      <c r="G178" s="93">
        <v>170</v>
      </c>
      <c r="H178" s="14">
        <f>'[1]2014-Unv-Plan-Cascaded'!K176</f>
        <v>0.2</v>
      </c>
      <c r="I178" s="51">
        <v>0.02</v>
      </c>
      <c r="J178" s="52">
        <v>0.02</v>
      </c>
      <c r="K178" s="75">
        <v>5.0000000000000001E-3</v>
      </c>
      <c r="L178" s="76">
        <v>5.0000000000000001E-3</v>
      </c>
      <c r="M178" s="76">
        <v>0</v>
      </c>
      <c r="N178" s="77">
        <v>5.0000000000000001E-3</v>
      </c>
      <c r="O178" s="77">
        <v>5.0000000000000001E-3</v>
      </c>
      <c r="P178" s="17"/>
      <c r="Q178" s="117"/>
      <c r="R178" s="117"/>
      <c r="S178" s="117">
        <v>7.8E-2</v>
      </c>
      <c r="T178" s="117">
        <v>7.8E-2</v>
      </c>
      <c r="U178" s="117">
        <v>7.8E-2</v>
      </c>
      <c r="V178" s="117">
        <v>7.8E-2</v>
      </c>
      <c r="W178" s="120">
        <v>2.5999999999999998E-4</v>
      </c>
      <c r="X178" s="120">
        <v>2.5999999999999998E-4</v>
      </c>
      <c r="Y178" s="120">
        <v>2.5999999999999998E-4</v>
      </c>
      <c r="Z178" s="120">
        <v>2.5999999999999998E-4</v>
      </c>
      <c r="AA178" s="120">
        <v>2.5999999999999998E-4</v>
      </c>
      <c r="AB178" s="120">
        <v>2.5999999999999998E-4</v>
      </c>
      <c r="AC178" s="120">
        <v>2.5999999999999998E-4</v>
      </c>
      <c r="AD178" s="120">
        <v>2.5999999999999998E-4</v>
      </c>
      <c r="AE178" s="120">
        <v>2.5999999999999998E-4</v>
      </c>
      <c r="AF178" s="120">
        <v>2.5999999999999998E-4</v>
      </c>
      <c r="AG178" s="120">
        <v>2.5999999999999998E-4</v>
      </c>
      <c r="AH178" s="120">
        <v>2.5999999999999998E-4</v>
      </c>
      <c r="AI178" s="120">
        <v>2.5999999999999998E-4</v>
      </c>
      <c r="AJ178" s="120">
        <v>2.5999999999999998E-4</v>
      </c>
      <c r="AK178" s="120">
        <v>2.5999999999999998E-4</v>
      </c>
      <c r="AL178" s="120">
        <v>2.5999999999999998E-4</v>
      </c>
      <c r="AM178" s="120">
        <v>2.5999999999999998E-4</v>
      </c>
      <c r="AN178" s="120">
        <v>2.5999999999999998E-4</v>
      </c>
      <c r="AO178" s="120">
        <v>2.5999999999999998E-4</v>
      </c>
      <c r="AP178" s="120">
        <v>2.5999999999999998E-4</v>
      </c>
      <c r="AQ178" s="120">
        <v>2.5999999999999998E-4</v>
      </c>
      <c r="AR178" s="120">
        <v>2.5999999999999998E-4</v>
      </c>
      <c r="AS178" s="120">
        <v>2.5999999999999998E-4</v>
      </c>
      <c r="AT178" s="120">
        <v>2.5999999999999998E-4</v>
      </c>
      <c r="AU178" s="120">
        <v>2.5999999999999998E-4</v>
      </c>
      <c r="AV178" s="120">
        <v>2.5999999999999998E-4</v>
      </c>
      <c r="AW178" s="120">
        <v>2.5999999999999998E-4</v>
      </c>
      <c r="AX178" s="120">
        <v>2.5999999999999998E-4</v>
      </c>
      <c r="AY178" s="120">
        <v>2.5999999999999998E-4</v>
      </c>
      <c r="AZ178" s="120">
        <v>2.5999999999999998E-4</v>
      </c>
      <c r="BA178" s="120">
        <v>2.5999999999999998E-4</v>
      </c>
      <c r="BB178" s="120">
        <v>2.5999999999999998E-4</v>
      </c>
      <c r="BC178" s="120">
        <v>2.5999999999999998E-4</v>
      </c>
      <c r="BD178" s="120">
        <v>2.5999999999999998E-4</v>
      </c>
      <c r="BE178" s="120">
        <v>2.5999999999999998E-4</v>
      </c>
      <c r="BF178" s="120">
        <v>2.5999999999999998E-4</v>
      </c>
    </row>
    <row r="179" spans="1:58" ht="25.5">
      <c r="A179" s="125"/>
      <c r="B179" s="126"/>
      <c r="C179" s="126"/>
      <c r="D179" s="10" t="s">
        <v>275</v>
      </c>
      <c r="E179" s="92">
        <v>1</v>
      </c>
      <c r="F179" s="93"/>
      <c r="G179" s="93">
        <v>16</v>
      </c>
      <c r="H179" s="14">
        <f>'[1]2014-Unv-Plan-Cascaded'!K177</f>
        <v>0.1</v>
      </c>
      <c r="I179" s="51">
        <v>0.02</v>
      </c>
      <c r="J179" s="52">
        <v>0.14000000000000001</v>
      </c>
      <c r="K179" s="75">
        <v>0.04</v>
      </c>
      <c r="L179" s="76">
        <v>7.0000000000000007E-2</v>
      </c>
      <c r="M179" s="76">
        <v>0.01</v>
      </c>
      <c r="N179" s="77">
        <v>0.01</v>
      </c>
      <c r="O179" s="77">
        <v>0.01</v>
      </c>
      <c r="P179" s="17"/>
      <c r="Q179" s="117"/>
      <c r="R179" s="117"/>
      <c r="S179" s="117">
        <v>0.125</v>
      </c>
      <c r="T179" s="117">
        <v>0.125</v>
      </c>
      <c r="U179" s="117">
        <v>0.125</v>
      </c>
      <c r="V179" s="117">
        <v>0.125</v>
      </c>
      <c r="W179" s="118"/>
      <c r="X179" s="118"/>
      <c r="Y179" s="118"/>
      <c r="Z179" s="117"/>
      <c r="AA179" s="117"/>
      <c r="AB179" s="117"/>
      <c r="AC179" s="117"/>
      <c r="AD179" s="117"/>
      <c r="AE179" s="117"/>
      <c r="AF179" s="117"/>
      <c r="AG179" s="117"/>
      <c r="AH179" s="118"/>
      <c r="AI179" s="118"/>
      <c r="AJ179" s="118"/>
      <c r="AK179" s="118"/>
      <c r="AL179" s="117"/>
      <c r="AM179" s="117"/>
      <c r="AN179" s="117"/>
      <c r="AO179" s="117"/>
      <c r="AP179" s="117"/>
      <c r="AQ179" s="117"/>
      <c r="AR179" s="117"/>
      <c r="AS179" s="117"/>
      <c r="AT179" s="118"/>
      <c r="AU179" s="118">
        <v>4.0999999999999999E-4</v>
      </c>
      <c r="AV179" s="118">
        <v>4.0999999999999999E-4</v>
      </c>
      <c r="AW179" s="118">
        <v>4.0999999999999999E-4</v>
      </c>
      <c r="AX179" s="118">
        <v>4.0999999999999999E-4</v>
      </c>
      <c r="AY179" s="118">
        <v>4.0999999999999999E-4</v>
      </c>
      <c r="AZ179" s="118">
        <v>4.0999999999999999E-4</v>
      </c>
      <c r="BA179" s="118">
        <v>4.0999999999999999E-4</v>
      </c>
      <c r="BB179" s="118">
        <v>4.0999999999999999E-4</v>
      </c>
      <c r="BC179" s="118">
        <v>4.0999999999999999E-4</v>
      </c>
      <c r="BD179" s="118">
        <v>4.0999999999999999E-4</v>
      </c>
      <c r="BE179" s="118">
        <v>4.0999999999999999E-4</v>
      </c>
      <c r="BF179" s="118">
        <v>4.0999999999999999E-4</v>
      </c>
    </row>
    <row r="180" spans="1:58" ht="25.5">
      <c r="A180" s="125"/>
      <c r="B180" s="124" t="s">
        <v>276</v>
      </c>
      <c r="C180" s="124" t="s">
        <v>277</v>
      </c>
      <c r="D180" s="10" t="s">
        <v>278</v>
      </c>
      <c r="E180" s="92">
        <v>0.3</v>
      </c>
      <c r="F180" s="93"/>
      <c r="G180" s="93">
        <v>85</v>
      </c>
      <c r="H180" s="14">
        <f>'[1]2014-Unv-Plan-Cascaded'!K178</f>
        <v>0.1</v>
      </c>
      <c r="I180" s="51">
        <v>0.01</v>
      </c>
      <c r="J180" s="52">
        <v>0.06</v>
      </c>
      <c r="K180" s="53">
        <v>0.03</v>
      </c>
      <c r="L180" s="54">
        <v>0</v>
      </c>
      <c r="M180" s="54">
        <v>0</v>
      </c>
      <c r="N180" s="77">
        <v>0.03</v>
      </c>
      <c r="O180" s="77">
        <v>0</v>
      </c>
      <c r="P180" s="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17"/>
      <c r="BC180" s="117"/>
      <c r="BD180" s="117"/>
      <c r="BE180" s="117"/>
      <c r="BF180" s="117"/>
    </row>
    <row r="181" spans="1:58" ht="25.5">
      <c r="A181" s="125"/>
      <c r="B181" s="125"/>
      <c r="C181" s="125"/>
      <c r="D181" s="10" t="s">
        <v>279</v>
      </c>
      <c r="E181" s="92">
        <v>0.4</v>
      </c>
      <c r="F181" s="93"/>
      <c r="G181" s="93">
        <v>6</v>
      </c>
      <c r="H181" s="14">
        <f>'[1]2014-Unv-Plan-Cascaded'!K179</f>
        <v>0.1</v>
      </c>
      <c r="I181" s="51">
        <v>0.01</v>
      </c>
      <c r="J181" s="52">
        <v>0.06</v>
      </c>
      <c r="K181" s="53">
        <v>0.02</v>
      </c>
      <c r="L181" s="54">
        <v>0</v>
      </c>
      <c r="M181" s="54">
        <v>0</v>
      </c>
      <c r="N181" s="77">
        <v>0.02</v>
      </c>
      <c r="O181" s="77">
        <v>0.02</v>
      </c>
      <c r="P181" s="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  <c r="AW181" s="117"/>
      <c r="AX181" s="117"/>
      <c r="AY181" s="117"/>
      <c r="AZ181" s="117"/>
      <c r="BA181" s="117"/>
      <c r="BB181" s="117"/>
      <c r="BC181" s="117"/>
      <c r="BD181" s="117"/>
      <c r="BE181" s="117"/>
      <c r="BF181" s="117"/>
    </row>
    <row r="182" spans="1:58" ht="25.5">
      <c r="A182" s="125"/>
      <c r="B182" s="125"/>
      <c r="C182" s="126"/>
      <c r="D182" s="10" t="s">
        <v>280</v>
      </c>
      <c r="E182" s="92">
        <v>0.3</v>
      </c>
      <c r="F182" s="93"/>
      <c r="G182" s="93">
        <v>6</v>
      </c>
      <c r="H182" s="14">
        <f>'[1]2014-Unv-Plan-Cascaded'!K180</f>
        <v>1</v>
      </c>
      <c r="I182" s="51">
        <v>0.01</v>
      </c>
      <c r="J182" s="52">
        <v>0.06</v>
      </c>
      <c r="K182" s="53">
        <v>0.02</v>
      </c>
      <c r="L182" s="54">
        <v>0.01</v>
      </c>
      <c r="M182" s="54">
        <v>0</v>
      </c>
      <c r="N182" s="77">
        <v>0.02</v>
      </c>
      <c r="O182" s="77">
        <v>0.01</v>
      </c>
      <c r="P182" s="17"/>
      <c r="Q182" s="117"/>
      <c r="R182" s="117"/>
      <c r="S182" s="117">
        <v>1.7999999999999999E-2</v>
      </c>
      <c r="T182" s="117">
        <v>1.7999999999999999E-2</v>
      </c>
      <c r="U182" s="117">
        <v>1.7999999999999999E-2</v>
      </c>
      <c r="V182" s="117">
        <v>1.7999999999999999E-2</v>
      </c>
      <c r="W182" s="120">
        <v>6.0000000000000002E-5</v>
      </c>
      <c r="X182" s="120">
        <v>6.0000000000000002E-5</v>
      </c>
      <c r="Y182" s="120">
        <v>6.0000000000000002E-5</v>
      </c>
      <c r="Z182" s="120">
        <v>6.0000000000000002E-5</v>
      </c>
      <c r="AA182" s="120">
        <v>6.0000000000000002E-5</v>
      </c>
      <c r="AB182" s="120">
        <v>6.0000000000000002E-5</v>
      </c>
      <c r="AC182" s="120">
        <v>6.0000000000000002E-5</v>
      </c>
      <c r="AD182" s="120">
        <v>6.0000000000000002E-5</v>
      </c>
      <c r="AE182" s="120">
        <v>6.0000000000000002E-5</v>
      </c>
      <c r="AF182" s="120">
        <v>6.0000000000000002E-5</v>
      </c>
      <c r="AG182" s="120">
        <v>6.0000000000000002E-5</v>
      </c>
      <c r="AH182" s="120">
        <v>6.0000000000000002E-5</v>
      </c>
      <c r="AI182" s="120">
        <v>6.0000000000000002E-5</v>
      </c>
      <c r="AJ182" s="120">
        <v>6.0000000000000002E-5</v>
      </c>
      <c r="AK182" s="120">
        <v>6.0000000000000002E-5</v>
      </c>
      <c r="AL182" s="120">
        <v>6.0000000000000002E-5</v>
      </c>
      <c r="AM182" s="120">
        <v>6.0000000000000002E-5</v>
      </c>
      <c r="AN182" s="120">
        <v>6.0000000000000002E-5</v>
      </c>
      <c r="AO182" s="120">
        <v>6.0000000000000002E-5</v>
      </c>
      <c r="AP182" s="120">
        <v>6.0000000000000002E-5</v>
      </c>
      <c r="AQ182" s="120">
        <v>6.0000000000000002E-5</v>
      </c>
      <c r="AR182" s="120">
        <v>6.0000000000000002E-5</v>
      </c>
      <c r="AS182" s="120">
        <v>6.0000000000000002E-5</v>
      </c>
      <c r="AT182" s="120">
        <v>6.0000000000000002E-5</v>
      </c>
      <c r="AU182" s="120">
        <v>6.0000000000000002E-5</v>
      </c>
      <c r="AV182" s="120">
        <v>6.0000000000000002E-5</v>
      </c>
      <c r="AW182" s="120">
        <v>6.0000000000000002E-5</v>
      </c>
      <c r="AX182" s="120">
        <v>6.0000000000000002E-5</v>
      </c>
      <c r="AY182" s="120">
        <v>6.0000000000000002E-5</v>
      </c>
      <c r="AZ182" s="120">
        <v>6.0000000000000002E-5</v>
      </c>
      <c r="BA182" s="120">
        <v>6.0000000000000002E-5</v>
      </c>
      <c r="BB182" s="120">
        <v>6.0000000000000002E-5</v>
      </c>
      <c r="BC182" s="120">
        <v>6.0000000000000002E-5</v>
      </c>
      <c r="BD182" s="120">
        <v>6.0000000000000002E-5</v>
      </c>
      <c r="BE182" s="120">
        <v>6.0000000000000002E-5</v>
      </c>
      <c r="BF182" s="120">
        <v>6.0000000000000002E-5</v>
      </c>
    </row>
    <row r="183" spans="1:58">
      <c r="A183" s="125"/>
      <c r="B183" s="125"/>
      <c r="C183" s="128" t="s">
        <v>281</v>
      </c>
      <c r="D183" s="64" t="s">
        <v>282</v>
      </c>
      <c r="E183" s="94">
        <v>0.75</v>
      </c>
      <c r="F183" s="95"/>
      <c r="G183" s="95">
        <v>1</v>
      </c>
      <c r="H183" s="96">
        <f>'[1]2014-Unv-Plan-Cascaded'!K181</f>
        <v>0.7</v>
      </c>
      <c r="I183" s="97">
        <v>0.05</v>
      </c>
      <c r="J183" s="98">
        <v>0.95</v>
      </c>
      <c r="K183" s="53">
        <v>0.95</v>
      </c>
      <c r="L183" s="54">
        <v>0</v>
      </c>
      <c r="M183" s="54">
        <v>0</v>
      </c>
      <c r="N183" s="77">
        <v>0</v>
      </c>
      <c r="O183" s="77">
        <v>0</v>
      </c>
      <c r="P183" s="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17"/>
      <c r="BC183" s="117"/>
      <c r="BD183" s="117"/>
      <c r="BE183" s="117"/>
      <c r="BF183" s="117"/>
    </row>
    <row r="184" spans="1:58" ht="25.5">
      <c r="A184" s="125"/>
      <c r="B184" s="131"/>
      <c r="C184" s="129"/>
      <c r="D184" s="99" t="s">
        <v>283</v>
      </c>
      <c r="E184" s="100"/>
      <c r="F184" s="101"/>
      <c r="G184" s="101"/>
      <c r="H184" s="102"/>
      <c r="I184" s="103"/>
      <c r="J184" s="104" t="s">
        <v>284</v>
      </c>
      <c r="K184" s="53"/>
      <c r="L184" s="54"/>
      <c r="M184" s="54"/>
      <c r="N184" s="29"/>
      <c r="O184" s="29"/>
      <c r="P184" s="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17"/>
      <c r="BA184" s="117"/>
      <c r="BB184" s="117"/>
      <c r="BC184" s="117"/>
      <c r="BD184" s="117"/>
      <c r="BE184" s="117"/>
      <c r="BF184" s="117"/>
    </row>
    <row r="185" spans="1:58" ht="25.5">
      <c r="A185" s="125"/>
      <c r="B185" s="125"/>
      <c r="C185" s="130" t="s">
        <v>285</v>
      </c>
      <c r="D185" s="84" t="s">
        <v>286</v>
      </c>
      <c r="E185" s="105">
        <v>0.2</v>
      </c>
      <c r="F185" s="106"/>
      <c r="G185" s="106">
        <v>2</v>
      </c>
      <c r="H185" s="107">
        <f>'[1]2014-Unv-Plan-Cascaded'!K182</f>
        <v>0</v>
      </c>
      <c r="I185" s="108">
        <v>0.1</v>
      </c>
      <c r="J185" s="109">
        <v>0.5</v>
      </c>
      <c r="K185" s="53">
        <v>0</v>
      </c>
      <c r="L185" s="54">
        <v>0.5</v>
      </c>
      <c r="M185" s="54">
        <v>0</v>
      </c>
      <c r="N185" s="77">
        <v>0</v>
      </c>
      <c r="O185" s="77">
        <v>0</v>
      </c>
      <c r="P185" s="17"/>
      <c r="Q185" s="117"/>
      <c r="R185" s="117"/>
      <c r="S185" s="117"/>
      <c r="T185" s="117">
        <v>1.2E-2</v>
      </c>
      <c r="U185" s="117">
        <v>1.2E-2</v>
      </c>
      <c r="V185" s="117">
        <v>1.2E-2</v>
      </c>
      <c r="W185" s="117">
        <v>1.2E-2</v>
      </c>
      <c r="X185" s="117">
        <v>4.0000000000000001E-3</v>
      </c>
      <c r="Y185" s="117">
        <v>4.0000000000000001E-3</v>
      </c>
      <c r="Z185" s="117">
        <v>4.0000000000000001E-3</v>
      </c>
      <c r="AA185" s="117">
        <v>4.0000000000000001E-3</v>
      </c>
      <c r="AB185" s="117">
        <v>4.0000000000000001E-3</v>
      </c>
      <c r="AC185" s="117">
        <v>4.0000000000000001E-3</v>
      </c>
      <c r="AD185" s="117">
        <v>4.0000000000000001E-3</v>
      </c>
      <c r="AE185" s="117">
        <v>4.0000000000000001E-3</v>
      </c>
      <c r="AF185" s="117">
        <v>4.0000000000000001E-3</v>
      </c>
      <c r="AG185" s="117">
        <v>4.0000000000000001E-3</v>
      </c>
      <c r="AH185" s="117">
        <v>4.0000000000000001E-3</v>
      </c>
      <c r="AI185" s="117">
        <v>4.0000000000000001E-3</v>
      </c>
      <c r="AJ185" s="117">
        <v>4.0000000000000001E-3</v>
      </c>
      <c r="AK185" s="117">
        <v>4.0000000000000001E-3</v>
      </c>
      <c r="AL185" s="117">
        <v>4.0000000000000001E-3</v>
      </c>
      <c r="AM185" s="117">
        <v>4.0000000000000001E-3</v>
      </c>
      <c r="AN185" s="117">
        <v>4.0000000000000001E-3</v>
      </c>
      <c r="AO185" s="117">
        <v>4.0000000000000001E-3</v>
      </c>
      <c r="AP185" s="117">
        <v>4.0000000000000001E-3</v>
      </c>
      <c r="AQ185" s="117">
        <v>4.0000000000000001E-3</v>
      </c>
      <c r="AR185" s="117">
        <v>4.0000000000000001E-3</v>
      </c>
      <c r="AS185" s="117">
        <v>4.0000000000000001E-3</v>
      </c>
      <c r="AT185" s="117">
        <v>4.0000000000000001E-3</v>
      </c>
      <c r="AU185" s="117">
        <v>4.0000000000000001E-3</v>
      </c>
      <c r="AV185" s="117">
        <v>4.0000000000000001E-3</v>
      </c>
      <c r="AW185" s="117">
        <v>4.0000000000000001E-3</v>
      </c>
      <c r="AX185" s="117">
        <v>4.0000000000000001E-3</v>
      </c>
      <c r="AY185" s="117">
        <v>4.0000000000000001E-3</v>
      </c>
      <c r="AZ185" s="117">
        <v>4.0000000000000001E-3</v>
      </c>
      <c r="BA185" s="117">
        <v>4.0000000000000001E-3</v>
      </c>
      <c r="BB185" s="117">
        <v>4.0000000000000001E-3</v>
      </c>
      <c r="BC185" s="117">
        <v>4.0000000000000001E-3</v>
      </c>
      <c r="BD185" s="117">
        <v>4.0000000000000001E-3</v>
      </c>
      <c r="BE185" s="117">
        <v>4.0000000000000001E-3</v>
      </c>
      <c r="BF185" s="117">
        <v>4.0000000000000001E-3</v>
      </c>
    </row>
    <row r="186" spans="1:58" ht="25.5">
      <c r="A186" s="125"/>
      <c r="B186" s="125"/>
      <c r="C186" s="125"/>
      <c r="D186" s="10" t="s">
        <v>287</v>
      </c>
      <c r="E186" s="92">
        <v>0.3</v>
      </c>
      <c r="F186" s="93"/>
      <c r="G186" s="93">
        <v>1</v>
      </c>
      <c r="H186" s="14">
        <f>'[1]2014-Unv-Plan-Cascaded'!K183</f>
        <v>0</v>
      </c>
      <c r="I186" s="51"/>
      <c r="J186" s="52">
        <v>0</v>
      </c>
      <c r="K186" s="53"/>
      <c r="L186" s="54"/>
      <c r="M186" s="54"/>
      <c r="N186" s="29"/>
      <c r="O186" s="29"/>
      <c r="P186" s="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17"/>
      <c r="BA186" s="117"/>
      <c r="BB186" s="117"/>
      <c r="BC186" s="117"/>
      <c r="BD186" s="117"/>
      <c r="BE186" s="117"/>
      <c r="BF186" s="117"/>
    </row>
    <row r="187" spans="1:58" ht="25.5">
      <c r="A187" s="125"/>
      <c r="B187" s="125"/>
      <c r="C187" s="125"/>
      <c r="D187" s="13" t="s">
        <v>288</v>
      </c>
      <c r="E187" s="92">
        <v>0.25</v>
      </c>
      <c r="F187" s="93"/>
      <c r="G187" s="93">
        <v>1</v>
      </c>
      <c r="H187" s="14">
        <f>'[1]2014-Unv-Plan-Cascaded'!K184</f>
        <v>0</v>
      </c>
      <c r="I187" s="51"/>
      <c r="J187" s="52">
        <v>0</v>
      </c>
      <c r="K187" s="53"/>
      <c r="L187" s="54"/>
      <c r="M187" s="54"/>
      <c r="N187" s="29"/>
      <c r="O187" s="29"/>
      <c r="P187" s="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</row>
    <row r="188" spans="1:58">
      <c r="A188" s="125"/>
      <c r="B188" s="126"/>
      <c r="C188" s="125"/>
      <c r="D188" s="31" t="s">
        <v>289</v>
      </c>
      <c r="E188" s="92">
        <v>0.25</v>
      </c>
      <c r="F188" s="93"/>
      <c r="G188" s="93">
        <v>1</v>
      </c>
      <c r="H188" s="14">
        <f>'[1]2014-Unv-Plan-Cascaded'!K185</f>
        <v>0</v>
      </c>
      <c r="I188" s="51"/>
      <c r="J188" s="52">
        <v>0</v>
      </c>
      <c r="K188" s="53"/>
      <c r="L188" s="54"/>
      <c r="M188" s="54"/>
      <c r="N188" s="29"/>
      <c r="O188" s="29"/>
      <c r="P188" s="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7"/>
      <c r="BA188" s="117"/>
      <c r="BB188" s="117"/>
      <c r="BC188" s="117"/>
      <c r="BD188" s="117"/>
      <c r="BE188" s="117"/>
      <c r="BF188" s="117"/>
    </row>
    <row r="189" spans="1:58">
      <c r="A189" s="125"/>
      <c r="B189" s="124" t="s">
        <v>290</v>
      </c>
      <c r="C189" s="126"/>
      <c r="D189" s="31" t="s">
        <v>291</v>
      </c>
      <c r="E189" s="92">
        <v>0.25</v>
      </c>
      <c r="F189" s="93"/>
      <c r="G189" s="93">
        <v>1</v>
      </c>
      <c r="H189" s="14">
        <f>'[1]2014-Unv-Plan-Cascaded'!K186</f>
        <v>1</v>
      </c>
      <c r="I189" s="51"/>
      <c r="J189" s="52">
        <v>0</v>
      </c>
      <c r="K189" s="53"/>
      <c r="L189" s="54"/>
      <c r="M189" s="54"/>
      <c r="N189" s="29"/>
      <c r="O189" s="29"/>
      <c r="P189" s="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17"/>
    </row>
    <row r="190" spans="1:58" ht="25.5">
      <c r="A190" s="125"/>
      <c r="B190" s="125"/>
      <c r="C190" s="10" t="s">
        <v>292</v>
      </c>
      <c r="D190" s="31" t="s">
        <v>293</v>
      </c>
      <c r="E190" s="92">
        <v>1.5</v>
      </c>
      <c r="F190" s="110"/>
      <c r="G190" s="110">
        <v>1</v>
      </c>
      <c r="H190" s="14">
        <f>'[1]2014-Unv-Plan-Cascaded'!K187</f>
        <v>1</v>
      </c>
      <c r="I190" s="51">
        <v>0.05</v>
      </c>
      <c r="J190" s="52">
        <v>0</v>
      </c>
      <c r="K190" s="53"/>
      <c r="L190" s="54"/>
      <c r="M190" s="54"/>
      <c r="N190" s="29"/>
      <c r="O190" s="29"/>
      <c r="P190" s="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7"/>
      <c r="BA190" s="117"/>
      <c r="BB190" s="117"/>
      <c r="BC190" s="117"/>
      <c r="BD190" s="117"/>
      <c r="BE190" s="117"/>
      <c r="BF190" s="117"/>
    </row>
    <row r="191" spans="1:58">
      <c r="A191" s="126"/>
      <c r="B191" s="126"/>
      <c r="C191" s="127" t="s">
        <v>294</v>
      </c>
      <c r="D191" s="31" t="s">
        <v>295</v>
      </c>
      <c r="E191" s="92">
        <v>0.75</v>
      </c>
      <c r="F191" s="93"/>
      <c r="G191" s="93">
        <v>100</v>
      </c>
      <c r="H191" s="14">
        <f>'[1]2014-Unv-Plan-Cascaded'!K188</f>
        <v>1</v>
      </c>
      <c r="I191" s="51">
        <v>0.05</v>
      </c>
      <c r="J191" s="52">
        <v>0</v>
      </c>
      <c r="K191" s="53"/>
      <c r="L191" s="54"/>
      <c r="M191" s="54"/>
      <c r="N191" s="29"/>
      <c r="O191" s="29"/>
      <c r="P191" s="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17"/>
      <c r="BA191" s="117"/>
      <c r="BB191" s="117"/>
      <c r="BC191" s="117"/>
      <c r="BD191" s="117"/>
      <c r="BE191" s="117"/>
      <c r="BF191" s="117"/>
    </row>
    <row r="192" spans="1:58">
      <c r="A192" s="124" t="s">
        <v>296</v>
      </c>
      <c r="B192" s="124" t="s">
        <v>297</v>
      </c>
      <c r="C192" s="126"/>
      <c r="D192" s="31" t="s">
        <v>298</v>
      </c>
      <c r="E192" s="92">
        <v>0.25</v>
      </c>
      <c r="F192" s="93"/>
      <c r="G192" s="93">
        <v>200</v>
      </c>
      <c r="H192" s="14">
        <f>'[1]2014-Unv-Plan-Cascaded'!K189</f>
        <v>0.9</v>
      </c>
      <c r="I192" s="51">
        <v>0.05</v>
      </c>
      <c r="J192" s="52">
        <v>0</v>
      </c>
      <c r="K192" s="53"/>
      <c r="L192" s="54"/>
      <c r="M192" s="54"/>
      <c r="N192" s="29"/>
      <c r="O192" s="29"/>
      <c r="P192" s="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17"/>
      <c r="BA192" s="117"/>
      <c r="BB192" s="117"/>
      <c r="BC192" s="117"/>
      <c r="BD192" s="117"/>
      <c r="BE192" s="117"/>
      <c r="BF192" s="117"/>
    </row>
    <row r="193" spans="1:58">
      <c r="A193" s="125"/>
      <c r="B193" s="125"/>
      <c r="C193" s="127" t="s">
        <v>299</v>
      </c>
      <c r="D193" s="10" t="s">
        <v>300</v>
      </c>
      <c r="E193" s="11">
        <v>1</v>
      </c>
      <c r="F193" s="13"/>
      <c r="G193" s="13">
        <v>3</v>
      </c>
      <c r="H193" s="14">
        <f>'[1]2014-Unv-Plan-Cascaded'!K190</f>
        <v>0.9</v>
      </c>
      <c r="I193" s="51">
        <v>0.1</v>
      </c>
      <c r="J193" s="52">
        <v>0</v>
      </c>
      <c r="K193" s="53"/>
      <c r="L193" s="54"/>
      <c r="M193" s="54"/>
      <c r="N193" s="29"/>
      <c r="O193" s="29"/>
      <c r="P193" s="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17"/>
      <c r="BF193" s="117"/>
    </row>
    <row r="194" spans="1:58">
      <c r="A194" s="125"/>
      <c r="B194" s="126"/>
      <c r="C194" s="126"/>
      <c r="D194" s="10" t="s">
        <v>301</v>
      </c>
      <c r="E194" s="11">
        <v>0.5</v>
      </c>
      <c r="F194" s="13"/>
      <c r="G194" s="13">
        <v>3</v>
      </c>
      <c r="H194" s="14">
        <f>'[1]2014-Unv-Plan-Cascaded'!K191</f>
        <v>1</v>
      </c>
      <c r="I194" s="51">
        <v>0.1</v>
      </c>
      <c r="J194" s="52">
        <v>0</v>
      </c>
      <c r="K194" s="53"/>
      <c r="L194" s="54"/>
      <c r="M194" s="54"/>
      <c r="N194" s="29"/>
      <c r="O194" s="29"/>
      <c r="P194" s="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17"/>
      <c r="BA194" s="117"/>
      <c r="BB194" s="117"/>
      <c r="BC194" s="117"/>
      <c r="BD194" s="117"/>
      <c r="BE194" s="117"/>
      <c r="BF194" s="117"/>
    </row>
    <row r="195" spans="1:58">
      <c r="A195" s="125"/>
      <c r="B195" s="124" t="s">
        <v>302</v>
      </c>
      <c r="C195" s="127" t="s">
        <v>303</v>
      </c>
      <c r="D195" s="10" t="s">
        <v>304</v>
      </c>
      <c r="E195" s="11">
        <v>0.5</v>
      </c>
      <c r="F195" s="13"/>
      <c r="G195" s="111">
        <v>5.0000000000000001E-3</v>
      </c>
      <c r="H195" s="14">
        <f>'[1]2014-Unv-Plan-Cascaded'!K192</f>
        <v>1</v>
      </c>
      <c r="I195" s="51">
        <v>0.1</v>
      </c>
      <c r="J195" s="52">
        <v>0</v>
      </c>
      <c r="K195" s="53"/>
      <c r="L195" s="54"/>
      <c r="M195" s="54"/>
      <c r="N195" s="29"/>
      <c r="O195" s="29"/>
      <c r="P195" s="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7"/>
      <c r="BA195" s="117"/>
      <c r="BB195" s="117"/>
      <c r="BC195" s="117"/>
      <c r="BD195" s="117"/>
      <c r="BE195" s="117"/>
      <c r="BF195" s="117"/>
    </row>
    <row r="196" spans="1:58" ht="25.5">
      <c r="A196" s="125"/>
      <c r="B196" s="125"/>
      <c r="C196" s="125"/>
      <c r="D196" s="10" t="s">
        <v>305</v>
      </c>
      <c r="E196" s="11">
        <v>0</v>
      </c>
      <c r="F196" s="13"/>
      <c r="G196" s="13">
        <v>0</v>
      </c>
      <c r="H196" s="14">
        <f>'[1]2014-Unv-Plan-Cascaded'!K193</f>
        <v>0.1</v>
      </c>
      <c r="I196" s="51">
        <v>0.1</v>
      </c>
      <c r="J196" s="52">
        <v>0</v>
      </c>
      <c r="K196" s="53"/>
      <c r="L196" s="54"/>
      <c r="M196" s="54"/>
      <c r="N196" s="29"/>
      <c r="O196" s="29"/>
      <c r="P196" s="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7"/>
      <c r="BA196" s="117"/>
      <c r="BB196" s="117"/>
      <c r="BC196" s="117"/>
      <c r="BD196" s="117"/>
      <c r="BE196" s="117"/>
      <c r="BF196" s="117"/>
    </row>
    <row r="197" spans="1:58">
      <c r="A197" s="126"/>
      <c r="B197" s="126"/>
      <c r="C197" s="126"/>
      <c r="D197" s="10" t="s">
        <v>306</v>
      </c>
      <c r="E197" s="11">
        <v>0.5</v>
      </c>
      <c r="F197" s="13"/>
      <c r="G197" s="13">
        <v>105</v>
      </c>
      <c r="H197" s="14">
        <f>'[1]2014-Unv-Plan-Cascaded'!K194</f>
        <v>0.1</v>
      </c>
      <c r="I197" s="51">
        <v>0.05</v>
      </c>
      <c r="J197" s="52">
        <v>0</v>
      </c>
      <c r="K197" s="53"/>
      <c r="L197" s="54"/>
      <c r="M197" s="54"/>
      <c r="N197" s="29"/>
      <c r="O197" s="29"/>
      <c r="P197" s="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17"/>
      <c r="BA197" s="117"/>
      <c r="BB197" s="117"/>
      <c r="BC197" s="117"/>
      <c r="BD197" s="117"/>
      <c r="BE197" s="117"/>
      <c r="BF197" s="117"/>
    </row>
    <row r="198" spans="1:58" ht="38.25">
      <c r="A198" s="112"/>
      <c r="B198" s="112"/>
      <c r="C198" s="10" t="s">
        <v>307</v>
      </c>
      <c r="D198" s="10" t="s">
        <v>308</v>
      </c>
      <c r="E198" s="11">
        <v>1</v>
      </c>
      <c r="F198" s="13"/>
      <c r="G198" s="13">
        <v>8</v>
      </c>
      <c r="H198" s="14">
        <f>'[1]2014-Unv-Plan-Cascaded'!K195</f>
        <v>0.1</v>
      </c>
      <c r="I198" s="51">
        <v>0.02</v>
      </c>
      <c r="J198" s="52">
        <v>0.03</v>
      </c>
      <c r="K198" s="53">
        <v>0.02</v>
      </c>
      <c r="L198" s="54">
        <v>0</v>
      </c>
      <c r="M198" s="54">
        <v>0</v>
      </c>
      <c r="N198" s="73">
        <v>0.01</v>
      </c>
      <c r="O198" s="73">
        <v>0</v>
      </c>
      <c r="P198" s="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17"/>
      <c r="BC198" s="117"/>
      <c r="BD198" s="117"/>
      <c r="BE198" s="117"/>
      <c r="BF198" s="117"/>
    </row>
    <row r="199" spans="1:58" ht="38.25">
      <c r="A199" s="112"/>
      <c r="B199" s="112"/>
      <c r="C199" s="10" t="s">
        <v>309</v>
      </c>
      <c r="D199" s="10" t="s">
        <v>310</v>
      </c>
      <c r="E199" s="11">
        <v>1</v>
      </c>
      <c r="F199" s="13"/>
      <c r="G199" s="13">
        <v>3</v>
      </c>
      <c r="H199" s="14">
        <f>'[1]2014-Unv-Plan-Cascaded'!K196</f>
        <v>0.1</v>
      </c>
      <c r="I199" s="51">
        <v>0.02</v>
      </c>
      <c r="J199" s="52">
        <v>0.03</v>
      </c>
      <c r="K199" s="53">
        <v>0.02</v>
      </c>
      <c r="L199" s="54">
        <v>0</v>
      </c>
      <c r="M199" s="54">
        <v>0</v>
      </c>
      <c r="N199" s="73">
        <v>0.01</v>
      </c>
      <c r="O199" s="73">
        <v>0.01</v>
      </c>
      <c r="P199" s="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17"/>
      <c r="BF199" s="117"/>
    </row>
    <row r="200" spans="1:58" ht="25.5">
      <c r="A200" s="112"/>
      <c r="B200" s="112"/>
      <c r="C200" s="10" t="s">
        <v>311</v>
      </c>
      <c r="D200" s="10" t="s">
        <v>312</v>
      </c>
      <c r="E200" s="11">
        <v>1</v>
      </c>
      <c r="F200" s="13"/>
      <c r="G200" s="13">
        <v>8</v>
      </c>
      <c r="H200" s="14">
        <f>'[1]2014-Unv-Plan-Cascaded'!K197</f>
        <v>0</v>
      </c>
      <c r="I200" s="51">
        <v>0.02</v>
      </c>
      <c r="J200" s="52">
        <v>0.03</v>
      </c>
      <c r="K200" s="53">
        <v>0.02</v>
      </c>
      <c r="L200" s="54">
        <v>0</v>
      </c>
      <c r="M200" s="54">
        <v>0</v>
      </c>
      <c r="N200" s="73">
        <v>0.01</v>
      </c>
      <c r="O200" s="73">
        <v>0.01</v>
      </c>
      <c r="P200" s="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7"/>
      <c r="BA200" s="117"/>
      <c r="BB200" s="117"/>
      <c r="BC200" s="117"/>
      <c r="BD200" s="117"/>
      <c r="BE200" s="117"/>
      <c r="BF200" s="117"/>
    </row>
    <row r="201" spans="1:58">
      <c r="A201" s="112"/>
      <c r="B201" s="112"/>
      <c r="C201" s="127" t="s">
        <v>313</v>
      </c>
      <c r="D201" s="10" t="s">
        <v>314</v>
      </c>
      <c r="E201" s="11">
        <v>1</v>
      </c>
      <c r="F201" s="13"/>
      <c r="G201" s="14">
        <v>1</v>
      </c>
      <c r="H201" s="14">
        <f>'[1]2014-Unv-Plan-Cascaded'!K198</f>
        <v>0</v>
      </c>
      <c r="I201" s="51"/>
      <c r="J201" s="52">
        <v>0</v>
      </c>
      <c r="K201" s="53"/>
      <c r="L201" s="54"/>
      <c r="M201" s="54"/>
      <c r="N201" s="29"/>
      <c r="O201" s="29"/>
      <c r="P201" s="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7"/>
      <c r="BD201" s="117"/>
      <c r="BE201" s="117"/>
      <c r="BF201" s="117"/>
    </row>
    <row r="202" spans="1:58" ht="25.5">
      <c r="A202" s="112"/>
      <c r="B202" s="112"/>
      <c r="C202" s="125"/>
      <c r="D202" s="10" t="s">
        <v>315</v>
      </c>
      <c r="E202" s="62">
        <v>0.5</v>
      </c>
      <c r="F202" s="72"/>
      <c r="G202" s="63">
        <v>1</v>
      </c>
      <c r="H202" s="14">
        <f>'[1]2014-Unv-Plan-Cascaded'!K199</f>
        <v>0</v>
      </c>
      <c r="I202" s="51"/>
      <c r="J202" s="52">
        <v>0</v>
      </c>
      <c r="K202" s="53"/>
      <c r="L202" s="54"/>
      <c r="M202" s="54"/>
      <c r="N202" s="29"/>
      <c r="O202" s="29"/>
      <c r="P202" s="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7"/>
      <c r="BA202" s="117"/>
      <c r="BB202" s="117"/>
      <c r="BC202" s="117"/>
      <c r="BD202" s="117"/>
      <c r="BE202" s="117"/>
      <c r="BF202" s="117"/>
    </row>
    <row r="203" spans="1:58" ht="38.25">
      <c r="A203" s="112"/>
      <c r="B203" s="112"/>
      <c r="C203" s="126"/>
      <c r="D203" s="10" t="s">
        <v>316</v>
      </c>
      <c r="E203" s="62">
        <v>0.5</v>
      </c>
      <c r="F203" s="72"/>
      <c r="G203" s="63">
        <v>1</v>
      </c>
      <c r="H203" s="14">
        <f>'[1]2014-Unv-Plan-Cascaded'!K200</f>
        <v>0</v>
      </c>
      <c r="I203" s="51"/>
      <c r="J203" s="52">
        <v>0</v>
      </c>
      <c r="K203" s="53"/>
      <c r="L203" s="54"/>
      <c r="M203" s="54"/>
      <c r="N203" s="29"/>
      <c r="O203" s="29"/>
      <c r="P203" s="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17"/>
      <c r="BC203" s="117"/>
      <c r="BD203" s="117"/>
      <c r="BE203" s="117"/>
      <c r="BF203" s="117"/>
    </row>
  </sheetData>
  <mergeCells count="120">
    <mergeCell ref="AI4:AT4"/>
    <mergeCell ref="W4:AH4"/>
    <mergeCell ref="AU4:BF4"/>
    <mergeCell ref="S5:V5"/>
    <mergeCell ref="AU5:AX5"/>
    <mergeCell ref="BC5:BF5"/>
    <mergeCell ref="AY5:BB5"/>
    <mergeCell ref="W5:Z5"/>
    <mergeCell ref="AA5:AD5"/>
    <mergeCell ref="AE5:AH5"/>
    <mergeCell ref="AI5:AL5"/>
    <mergeCell ref="AM5:AP5"/>
    <mergeCell ref="AQ5:AT5"/>
    <mergeCell ref="Q4:V4"/>
    <mergeCell ref="A2:P2"/>
    <mergeCell ref="A3:A5"/>
    <mergeCell ref="B3:B5"/>
    <mergeCell ref="C3:C5"/>
    <mergeCell ref="D3:D5"/>
    <mergeCell ref="E3:E5"/>
    <mergeCell ref="F3:F5"/>
    <mergeCell ref="G3:G5"/>
    <mergeCell ref="H3:H5"/>
    <mergeCell ref="I3:P3"/>
    <mergeCell ref="A17:A31"/>
    <mergeCell ref="B17:B24"/>
    <mergeCell ref="C18:C20"/>
    <mergeCell ref="C21:C24"/>
    <mergeCell ref="B25:B31"/>
    <mergeCell ref="C27:C30"/>
    <mergeCell ref="A7:A16"/>
    <mergeCell ref="B7:B8"/>
    <mergeCell ref="B9:B13"/>
    <mergeCell ref="C9:C10"/>
    <mergeCell ref="C11:C13"/>
    <mergeCell ref="B14:B16"/>
    <mergeCell ref="C15:C16"/>
    <mergeCell ref="A74:A91"/>
    <mergeCell ref="B74:B85"/>
    <mergeCell ref="C74:C76"/>
    <mergeCell ref="C77:C79"/>
    <mergeCell ref="C80:C82"/>
    <mergeCell ref="A32:A73"/>
    <mergeCell ref="B32:B48"/>
    <mergeCell ref="C33:C34"/>
    <mergeCell ref="C37:C38"/>
    <mergeCell ref="C39:C43"/>
    <mergeCell ref="C44:C48"/>
    <mergeCell ref="B49:B62"/>
    <mergeCell ref="C49:C54"/>
    <mergeCell ref="C55:C62"/>
    <mergeCell ref="B63:B68"/>
    <mergeCell ref="C83:C85"/>
    <mergeCell ref="C86:C89"/>
    <mergeCell ref="B88:B89"/>
    <mergeCell ref="B90:B91"/>
    <mergeCell ref="C90:C91"/>
    <mergeCell ref="C63:C64"/>
    <mergeCell ref="A130:A138"/>
    <mergeCell ref="B130:B138"/>
    <mergeCell ref="C130:C132"/>
    <mergeCell ref="C133:C135"/>
    <mergeCell ref="C136:C138"/>
    <mergeCell ref="B109:B113"/>
    <mergeCell ref="C109:C112"/>
    <mergeCell ref="A114:A129"/>
    <mergeCell ref="B114:B121"/>
    <mergeCell ref="C114:C117"/>
    <mergeCell ref="C118:C121"/>
    <mergeCell ref="B122:B127"/>
    <mergeCell ref="C122:C123"/>
    <mergeCell ref="C124:C127"/>
    <mergeCell ref="B128:B129"/>
    <mergeCell ref="A92:A113"/>
    <mergeCell ref="B92:B96"/>
    <mergeCell ref="C92:C93"/>
    <mergeCell ref="C94:C96"/>
    <mergeCell ref="B97:B101"/>
    <mergeCell ref="A139:A153"/>
    <mergeCell ref="B139:B145"/>
    <mergeCell ref="C139:C140"/>
    <mergeCell ref="C141:C142"/>
    <mergeCell ref="C143:C145"/>
    <mergeCell ref="B146:B150"/>
    <mergeCell ref="C146:C147"/>
    <mergeCell ref="C148:C150"/>
    <mergeCell ref="B151:B153"/>
    <mergeCell ref="C151:C153"/>
    <mergeCell ref="A192:A197"/>
    <mergeCell ref="B192:B194"/>
    <mergeCell ref="C193:C194"/>
    <mergeCell ref="B195:B197"/>
    <mergeCell ref="C195:C197"/>
    <mergeCell ref="A154:A191"/>
    <mergeCell ref="B154:B170"/>
    <mergeCell ref="C154:C159"/>
    <mergeCell ref="C160:C167"/>
    <mergeCell ref="C168:C170"/>
    <mergeCell ref="B171:B174"/>
    <mergeCell ref="B175:B179"/>
    <mergeCell ref="C175:C179"/>
    <mergeCell ref="B180:B184"/>
    <mergeCell ref="C180:C182"/>
    <mergeCell ref="C65:C68"/>
    <mergeCell ref="C201:C203"/>
    <mergeCell ref="C183:C184"/>
    <mergeCell ref="B185:B188"/>
    <mergeCell ref="C185:C189"/>
    <mergeCell ref="B189:B191"/>
    <mergeCell ref="C191:C192"/>
    <mergeCell ref="C128:C129"/>
    <mergeCell ref="C97:C98"/>
    <mergeCell ref="C99:C101"/>
    <mergeCell ref="B102:B108"/>
    <mergeCell ref="C102:C103"/>
    <mergeCell ref="C104:C106"/>
    <mergeCell ref="C107:C108"/>
    <mergeCell ref="B69:B73"/>
    <mergeCell ref="C69:C70"/>
    <mergeCell ref="C71:C7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Gemechu plan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Yordi</dc:creator>
  <cp:lastModifiedBy>Gemechu(0922496959)</cp:lastModifiedBy>
  <dcterms:created xsi:type="dcterms:W3CDTF">2021-09-08T08:23:52Z</dcterms:created>
  <dcterms:modified xsi:type="dcterms:W3CDTF">2022-07-25T07:17:06Z</dcterms:modified>
</cp:coreProperties>
</file>